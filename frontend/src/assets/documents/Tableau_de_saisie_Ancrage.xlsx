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8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9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K:\OMBELINE\Ancrage\Modifs BAO\"/>
    </mc:Choice>
  </mc:AlternateContent>
  <xr:revisionPtr revIDLastSave="0" documentId="13_ncr:1_{52FE7F0D-0653-45D1-864D-4F8FDE97F94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os du site" sheetId="1" r:id="rId1"/>
    <sheet name="Acteurs" sheetId="2" r:id="rId2"/>
    <sheet name="Formulaire" sheetId="3" r:id="rId3"/>
    <sheet name="Grille de métriques" sheetId="4" r:id="rId4"/>
    <sheet name="Graphs Connaissance" sheetId="5" r:id="rId5"/>
    <sheet name="Graphs Interet" sheetId="6" r:id="rId6"/>
    <sheet name="Graphs Implication" sheetId="7" r:id="rId7"/>
    <sheet name="AFOM" sheetId="8" r:id="rId8"/>
    <sheet name="CCG" sheetId="9" r:id="rId9"/>
    <sheet name="Conclusion" sheetId="11" r:id="rId10"/>
    <sheet name="BD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jy7nm7MbkmY/iTKdkIEhAdzIAyeg=="/>
    </ext>
  </extLst>
</workbook>
</file>

<file path=xl/calcChain.xml><?xml version="1.0" encoding="utf-8"?>
<calcChain xmlns="http://schemas.openxmlformats.org/spreadsheetml/2006/main">
  <c r="D86" i="4" l="1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Y39" i="12" s="1"/>
  <c r="V84" i="4"/>
  <c r="W84" i="4"/>
  <c r="X84" i="4"/>
  <c r="Y84" i="4"/>
  <c r="Z84" i="4"/>
  <c r="AA84" i="4"/>
  <c r="AB84" i="4"/>
  <c r="AC84" i="4"/>
  <c r="AD84" i="4"/>
  <c r="AE84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X38" i="12" s="1"/>
  <c r="U83" i="4"/>
  <c r="Y38" i="12" s="1"/>
  <c r="V83" i="4"/>
  <c r="W83" i="4"/>
  <c r="X83" i="4"/>
  <c r="Y83" i="4"/>
  <c r="Z83" i="4"/>
  <c r="AA83" i="4"/>
  <c r="AB83" i="4"/>
  <c r="AC83" i="4"/>
  <c r="AD83" i="4"/>
  <c r="AE83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W34" i="12" s="1"/>
  <c r="T79" i="4"/>
  <c r="U79" i="4"/>
  <c r="Y34" i="12" s="1"/>
  <c r="V79" i="4"/>
  <c r="W79" i="4"/>
  <c r="X79" i="4"/>
  <c r="Y79" i="4"/>
  <c r="Z79" i="4"/>
  <c r="AA79" i="4"/>
  <c r="AB79" i="4"/>
  <c r="AC79" i="4"/>
  <c r="AD79" i="4"/>
  <c r="AE79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V33" i="12" s="1"/>
  <c r="S78" i="4"/>
  <c r="T78" i="4"/>
  <c r="X33" i="12" s="1"/>
  <c r="U78" i="4"/>
  <c r="V78" i="4"/>
  <c r="W78" i="4"/>
  <c r="X78" i="4"/>
  <c r="Y78" i="4"/>
  <c r="Z78" i="4"/>
  <c r="AA78" i="4"/>
  <c r="AB78" i="4"/>
  <c r="AC78" i="4"/>
  <c r="AD78" i="4"/>
  <c r="AE78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V32" i="12" s="1"/>
  <c r="S77" i="4"/>
  <c r="T77" i="4"/>
  <c r="X32" i="12" s="1"/>
  <c r="U77" i="4"/>
  <c r="V77" i="4"/>
  <c r="W77" i="4"/>
  <c r="X77" i="4"/>
  <c r="Y77" i="4"/>
  <c r="Z77" i="4"/>
  <c r="AA77" i="4"/>
  <c r="AB77" i="4"/>
  <c r="AC77" i="4"/>
  <c r="AD77" i="4"/>
  <c r="AE77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W31" i="12" s="1"/>
  <c r="T76" i="4"/>
  <c r="U76" i="4"/>
  <c r="V76" i="4"/>
  <c r="W76" i="4"/>
  <c r="X76" i="4"/>
  <c r="Y76" i="4"/>
  <c r="Z76" i="4"/>
  <c r="AA76" i="4"/>
  <c r="AB76" i="4"/>
  <c r="AC76" i="4"/>
  <c r="AD76" i="4"/>
  <c r="AE76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W30" i="12" s="1"/>
  <c r="T75" i="4"/>
  <c r="U75" i="4"/>
  <c r="Y30" i="12" s="1"/>
  <c r="V75" i="4"/>
  <c r="W75" i="4"/>
  <c r="X75" i="4"/>
  <c r="Y75" i="4"/>
  <c r="Z75" i="4"/>
  <c r="AA75" i="4"/>
  <c r="AB75" i="4"/>
  <c r="AC75" i="4"/>
  <c r="AD75" i="4"/>
  <c r="AE75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V29" i="12" s="1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X28" i="12" s="1"/>
  <c r="U73" i="4"/>
  <c r="V73" i="4"/>
  <c r="W73" i="4"/>
  <c r="X73" i="4"/>
  <c r="Y73" i="4"/>
  <c r="Z73" i="4"/>
  <c r="AA73" i="4"/>
  <c r="AB73" i="4"/>
  <c r="AC73" i="4"/>
  <c r="AD73" i="4"/>
  <c r="AE73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X27" i="12" s="1"/>
  <c r="U72" i="4"/>
  <c r="Y27" i="12" s="1"/>
  <c r="V72" i="4"/>
  <c r="W72" i="4"/>
  <c r="X72" i="4"/>
  <c r="Y72" i="4"/>
  <c r="Z72" i="4"/>
  <c r="AA72" i="4"/>
  <c r="AB72" i="4"/>
  <c r="AC72" i="4"/>
  <c r="AD72" i="4"/>
  <c r="AE72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V24" i="12" s="1"/>
  <c r="S69" i="4"/>
  <c r="W24" i="12" s="1"/>
  <c r="T69" i="4"/>
  <c r="U69" i="4"/>
  <c r="V69" i="4"/>
  <c r="W69" i="4"/>
  <c r="X69" i="4"/>
  <c r="Y69" i="4"/>
  <c r="Z69" i="4"/>
  <c r="AA69" i="4"/>
  <c r="AB69" i="4"/>
  <c r="AC69" i="4"/>
  <c r="AD69" i="4"/>
  <c r="AE69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V23" i="12" s="1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V21" i="12" s="1"/>
  <c r="S66" i="4"/>
  <c r="W21" i="12" s="1"/>
  <c r="T66" i="4"/>
  <c r="U66" i="4"/>
  <c r="V66" i="4"/>
  <c r="W66" i="4"/>
  <c r="X66" i="4"/>
  <c r="Y66" i="4"/>
  <c r="Z66" i="4"/>
  <c r="AA66" i="4"/>
  <c r="AB66" i="4"/>
  <c r="AC66" i="4"/>
  <c r="AD66" i="4"/>
  <c r="AE66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W20" i="12" s="1"/>
  <c r="T65" i="4"/>
  <c r="U65" i="4"/>
  <c r="V65" i="4"/>
  <c r="W65" i="4"/>
  <c r="X65" i="4"/>
  <c r="Y65" i="4"/>
  <c r="Z65" i="4"/>
  <c r="AA65" i="4"/>
  <c r="AB65" i="4"/>
  <c r="AC65" i="4"/>
  <c r="AD65" i="4"/>
  <c r="AE65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V19" i="12" s="1"/>
  <c r="S64" i="4"/>
  <c r="W19" i="12" s="1"/>
  <c r="T64" i="4"/>
  <c r="U64" i="4"/>
  <c r="V64" i="4"/>
  <c r="W64" i="4"/>
  <c r="X64" i="4"/>
  <c r="Y64" i="4"/>
  <c r="Z64" i="4"/>
  <c r="AA64" i="4"/>
  <c r="AB64" i="4"/>
  <c r="AC64" i="4"/>
  <c r="AD64" i="4"/>
  <c r="AE64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V18" i="12" s="1"/>
  <c r="S63" i="4"/>
  <c r="T63" i="4"/>
  <c r="U63" i="4"/>
  <c r="Y18" i="12" s="1"/>
  <c r="V63" i="4"/>
  <c r="W63" i="4"/>
  <c r="X63" i="4"/>
  <c r="Y63" i="4"/>
  <c r="Z63" i="4"/>
  <c r="AA63" i="4"/>
  <c r="AB63" i="4"/>
  <c r="AC63" i="4"/>
  <c r="AD63" i="4"/>
  <c r="AE63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V17" i="12" s="1"/>
  <c r="S62" i="4"/>
  <c r="T62" i="4"/>
  <c r="U62" i="4"/>
  <c r="Y17" i="12" s="1"/>
  <c r="V62" i="4"/>
  <c r="W62" i="4"/>
  <c r="X62" i="4"/>
  <c r="Y62" i="4"/>
  <c r="Z62" i="4"/>
  <c r="AA62" i="4"/>
  <c r="AB62" i="4"/>
  <c r="AC62" i="4"/>
  <c r="AD62" i="4"/>
  <c r="AE62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W16" i="12" s="1"/>
  <c r="T61" i="4"/>
  <c r="U61" i="4"/>
  <c r="V61" i="4"/>
  <c r="W61" i="4"/>
  <c r="X61" i="4"/>
  <c r="Y61" i="4"/>
  <c r="Z61" i="4"/>
  <c r="AA61" i="4"/>
  <c r="AB61" i="4"/>
  <c r="AC61" i="4"/>
  <c r="AD61" i="4"/>
  <c r="AE61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Y15" i="12" s="1"/>
  <c r="V60" i="4"/>
  <c r="W60" i="4"/>
  <c r="X60" i="4"/>
  <c r="Y60" i="4"/>
  <c r="Z60" i="4"/>
  <c r="AA60" i="4"/>
  <c r="AB60" i="4"/>
  <c r="AC60" i="4"/>
  <c r="AD60" i="4"/>
  <c r="AE60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X14" i="12" s="1"/>
  <c r="U59" i="4"/>
  <c r="Y14" i="12" s="1"/>
  <c r="V59" i="4"/>
  <c r="W59" i="4"/>
  <c r="X59" i="4"/>
  <c r="Y59" i="4"/>
  <c r="Z59" i="4"/>
  <c r="AA59" i="4"/>
  <c r="AB59" i="4"/>
  <c r="AC59" i="4"/>
  <c r="AD59" i="4"/>
  <c r="AE59" i="4"/>
  <c r="AF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V13" i="12" s="1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G58" i="4"/>
  <c r="AH58" i="4"/>
  <c r="U57" i="4"/>
  <c r="Y12" i="12" s="1"/>
  <c r="T57" i="4"/>
  <c r="X12" i="12" s="1"/>
  <c r="S57" i="4"/>
  <c r="W12" i="12" s="1"/>
  <c r="R57" i="4"/>
  <c r="U56" i="4"/>
  <c r="Y11" i="12" s="1"/>
  <c r="T56" i="4"/>
  <c r="X11" i="12" s="1"/>
  <c r="S56" i="4"/>
  <c r="R56" i="4"/>
  <c r="U55" i="4"/>
  <c r="T55" i="4"/>
  <c r="S55" i="4"/>
  <c r="R55" i="4"/>
  <c r="V10" i="12" s="1"/>
  <c r="T54" i="4"/>
  <c r="S54" i="4"/>
  <c r="R54" i="4"/>
  <c r="R48" i="4"/>
  <c r="R49" i="4"/>
  <c r="R50" i="4"/>
  <c r="R51" i="4"/>
  <c r="R52" i="4"/>
  <c r="V7" i="12" s="1"/>
  <c r="R53" i="4"/>
  <c r="V9" i="12"/>
  <c r="V11" i="12"/>
  <c r="V20" i="12"/>
  <c r="V22" i="12"/>
  <c r="V25" i="12"/>
  <c r="V34" i="12"/>
  <c r="V35" i="12"/>
  <c r="V37" i="12"/>
  <c r="V38" i="12"/>
  <c r="V39" i="12"/>
  <c r="V5" i="12"/>
  <c r="V14" i="12"/>
  <c r="V26" i="12"/>
  <c r="V41" i="12"/>
  <c r="R47" i="4"/>
  <c r="U54" i="4"/>
  <c r="U53" i="4"/>
  <c r="Y8" i="12" s="1"/>
  <c r="T53" i="4"/>
  <c r="X8" i="12" s="1"/>
  <c r="S53" i="4"/>
  <c r="W8" i="12" s="1"/>
  <c r="W9" i="12"/>
  <c r="V8" i="12"/>
  <c r="U52" i="4"/>
  <c r="T52" i="4"/>
  <c r="X7" i="12"/>
  <c r="S52" i="4"/>
  <c r="W7" i="12" s="1"/>
  <c r="AH51" i="4"/>
  <c r="AG51" i="4"/>
  <c r="AE51" i="4"/>
  <c r="AD51" i="4"/>
  <c r="AC51" i="4"/>
  <c r="AB51" i="4"/>
  <c r="AA51" i="4"/>
  <c r="Z51" i="4"/>
  <c r="Y51" i="4"/>
  <c r="X51" i="4"/>
  <c r="W51" i="4"/>
  <c r="V51" i="4"/>
  <c r="U51" i="4"/>
  <c r="Y6" i="12" s="1"/>
  <c r="T51" i="4"/>
  <c r="X6" i="12" s="1"/>
  <c r="S51" i="4"/>
  <c r="W6" i="12" s="1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U50" i="4"/>
  <c r="T50" i="4"/>
  <c r="S50" i="4"/>
  <c r="F49" i="4"/>
  <c r="U49" i="4"/>
  <c r="Y4" i="12" s="1"/>
  <c r="T49" i="4"/>
  <c r="X4" i="12" s="1"/>
  <c r="U48" i="4"/>
  <c r="Y3" i="12" s="1"/>
  <c r="V48" i="4"/>
  <c r="P48" i="4"/>
  <c r="T48" i="4"/>
  <c r="S48" i="4"/>
  <c r="S49" i="4"/>
  <c r="W4" i="12" s="1"/>
  <c r="Z49" i="4"/>
  <c r="V4" i="12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C38" i="9"/>
  <c r="D38" i="9"/>
  <c r="E38" i="9"/>
  <c r="C39" i="9"/>
  <c r="D39" i="9"/>
  <c r="E39" i="9"/>
  <c r="C40" i="9"/>
  <c r="D40" i="9"/>
  <c r="E40" i="9"/>
  <c r="C41" i="9"/>
  <c r="D41" i="9"/>
  <c r="E41" i="9"/>
  <c r="C42" i="9"/>
  <c r="D42" i="9"/>
  <c r="E42" i="9"/>
  <c r="C43" i="9"/>
  <c r="D43" i="9"/>
  <c r="E43" i="9"/>
  <c r="C44" i="9"/>
  <c r="D44" i="9"/>
  <c r="E44" i="9"/>
  <c r="C45" i="9"/>
  <c r="D45" i="9"/>
  <c r="E45" i="9"/>
  <c r="C46" i="9"/>
  <c r="D46" i="9"/>
  <c r="E46" i="9"/>
  <c r="C47" i="9"/>
  <c r="D47" i="9"/>
  <c r="E47" i="9"/>
  <c r="C48" i="9"/>
  <c r="D48" i="9"/>
  <c r="E48" i="9"/>
  <c r="C49" i="9"/>
  <c r="D49" i="9"/>
  <c r="E49" i="9"/>
  <c r="C50" i="9"/>
  <c r="D50" i="9"/>
  <c r="E50" i="9"/>
  <c r="C51" i="9"/>
  <c r="D51" i="9"/>
  <c r="E51" i="9"/>
  <c r="C52" i="9"/>
  <c r="D52" i="9"/>
  <c r="E52" i="9"/>
  <c r="C53" i="9"/>
  <c r="D53" i="9"/>
  <c r="E53" i="9"/>
  <c r="C54" i="9"/>
  <c r="D54" i="9"/>
  <c r="E54" i="9"/>
  <c r="C55" i="9"/>
  <c r="D55" i="9"/>
  <c r="E55" i="9"/>
  <c r="C56" i="9"/>
  <c r="D56" i="9"/>
  <c r="E56" i="9"/>
  <c r="C57" i="9"/>
  <c r="D57" i="9"/>
  <c r="E57" i="9"/>
  <c r="C58" i="9"/>
  <c r="D58" i="9"/>
  <c r="E58" i="9"/>
  <c r="C59" i="9"/>
  <c r="D59" i="9"/>
  <c r="E59" i="9"/>
  <c r="B59" i="9"/>
  <c r="B58" i="9"/>
  <c r="B56" i="9"/>
  <c r="B57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D20" i="7"/>
  <c r="E20" i="7"/>
  <c r="F20" i="7"/>
  <c r="G20" i="7"/>
  <c r="D21" i="7"/>
  <c r="E21" i="7"/>
  <c r="F21" i="7"/>
  <c r="G21" i="7"/>
  <c r="D22" i="7"/>
  <c r="E22" i="7"/>
  <c r="F22" i="7"/>
  <c r="G22" i="7"/>
  <c r="D23" i="7"/>
  <c r="E23" i="7"/>
  <c r="F23" i="7"/>
  <c r="G23" i="7"/>
  <c r="D24" i="7"/>
  <c r="E24" i="7"/>
  <c r="F24" i="7"/>
  <c r="G24" i="7"/>
  <c r="D25" i="7"/>
  <c r="E25" i="7"/>
  <c r="F25" i="7"/>
  <c r="G25" i="7"/>
  <c r="D26" i="7"/>
  <c r="E26" i="7"/>
  <c r="F26" i="7"/>
  <c r="G26" i="7"/>
  <c r="D27" i="7"/>
  <c r="E27" i="7"/>
  <c r="F27" i="7"/>
  <c r="G27" i="7"/>
  <c r="D28" i="7"/>
  <c r="E28" i="7"/>
  <c r="F28" i="7"/>
  <c r="G28" i="7"/>
  <c r="D29" i="7"/>
  <c r="E29" i="7"/>
  <c r="F29" i="7"/>
  <c r="G29" i="7"/>
  <c r="D30" i="7"/>
  <c r="E30" i="7"/>
  <c r="F30" i="7"/>
  <c r="G30" i="7"/>
  <c r="D31" i="7"/>
  <c r="E31" i="7"/>
  <c r="F31" i="7"/>
  <c r="G31" i="7"/>
  <c r="D32" i="7"/>
  <c r="E32" i="7"/>
  <c r="F32" i="7"/>
  <c r="G32" i="7"/>
  <c r="D33" i="7"/>
  <c r="E33" i="7"/>
  <c r="F33" i="7"/>
  <c r="G33" i="7"/>
  <c r="D34" i="7"/>
  <c r="E34" i="7"/>
  <c r="F34" i="7"/>
  <c r="G34" i="7"/>
  <c r="D35" i="7"/>
  <c r="E35" i="7"/>
  <c r="F35" i="7"/>
  <c r="G35" i="7"/>
  <c r="D36" i="7"/>
  <c r="E36" i="7"/>
  <c r="F36" i="7"/>
  <c r="G36" i="7"/>
  <c r="D37" i="7"/>
  <c r="E37" i="7"/>
  <c r="F37" i="7"/>
  <c r="G37" i="7"/>
  <c r="D38" i="7"/>
  <c r="E38" i="7"/>
  <c r="F38" i="7"/>
  <c r="G38" i="7"/>
  <c r="D39" i="7"/>
  <c r="E39" i="7"/>
  <c r="F39" i="7"/>
  <c r="G39" i="7"/>
  <c r="D40" i="7"/>
  <c r="E40" i="7"/>
  <c r="F40" i="7"/>
  <c r="G40" i="7"/>
  <c r="D41" i="7"/>
  <c r="E41" i="7"/>
  <c r="F41" i="7"/>
  <c r="G41" i="7"/>
  <c r="D42" i="7"/>
  <c r="E42" i="7"/>
  <c r="F42" i="7"/>
  <c r="G42" i="7"/>
  <c r="D43" i="7"/>
  <c r="E43" i="7"/>
  <c r="F43" i="7"/>
  <c r="G43" i="7"/>
  <c r="D44" i="7"/>
  <c r="E44" i="7"/>
  <c r="F44" i="7"/>
  <c r="G44" i="7"/>
  <c r="D45" i="7"/>
  <c r="E45" i="7"/>
  <c r="F45" i="7"/>
  <c r="G45" i="7"/>
  <c r="D46" i="7"/>
  <c r="E46" i="7"/>
  <c r="F46" i="7"/>
  <c r="G46" i="7"/>
  <c r="D47" i="7"/>
  <c r="E47" i="7"/>
  <c r="F47" i="7"/>
  <c r="G47" i="7"/>
  <c r="D48" i="7"/>
  <c r="E48" i="7"/>
  <c r="F48" i="7"/>
  <c r="G48" i="7"/>
  <c r="D49" i="7"/>
  <c r="E49" i="7"/>
  <c r="F49" i="7"/>
  <c r="G49" i="7"/>
  <c r="D50" i="7"/>
  <c r="E50" i="7"/>
  <c r="F50" i="7"/>
  <c r="G50" i="7"/>
  <c r="D51" i="7"/>
  <c r="E51" i="7"/>
  <c r="F51" i="7"/>
  <c r="G51" i="7"/>
  <c r="D52" i="7"/>
  <c r="E52" i="7"/>
  <c r="F52" i="7"/>
  <c r="G52" i="7"/>
  <c r="D53" i="7"/>
  <c r="E53" i="7"/>
  <c r="F53" i="7"/>
  <c r="G53" i="7"/>
  <c r="D54" i="7"/>
  <c r="E54" i="7"/>
  <c r="F54" i="7"/>
  <c r="G54" i="7"/>
  <c r="D55" i="7"/>
  <c r="E55" i="7"/>
  <c r="F55" i="7"/>
  <c r="G55" i="7"/>
  <c r="D56" i="7"/>
  <c r="E56" i="7"/>
  <c r="F56" i="7"/>
  <c r="G56" i="7"/>
  <c r="D57" i="7"/>
  <c r="E57" i="7"/>
  <c r="F57" i="7"/>
  <c r="G57" i="7"/>
  <c r="D58" i="7"/>
  <c r="E58" i="7"/>
  <c r="F58" i="7"/>
  <c r="G58" i="7"/>
  <c r="D59" i="7"/>
  <c r="E59" i="7"/>
  <c r="F59" i="7"/>
  <c r="G59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D20" i="6"/>
  <c r="E20" i="6"/>
  <c r="F20" i="6"/>
  <c r="G20" i="6"/>
  <c r="H20" i="6"/>
  <c r="I20" i="6"/>
  <c r="J20" i="6"/>
  <c r="K20" i="6"/>
  <c r="D21" i="6"/>
  <c r="E21" i="6"/>
  <c r="F21" i="6"/>
  <c r="G21" i="6"/>
  <c r="H21" i="6"/>
  <c r="I21" i="6"/>
  <c r="J21" i="6"/>
  <c r="K21" i="6"/>
  <c r="D22" i="6"/>
  <c r="E22" i="6"/>
  <c r="F22" i="6"/>
  <c r="G22" i="6"/>
  <c r="H22" i="6"/>
  <c r="I22" i="6"/>
  <c r="J22" i="6"/>
  <c r="K22" i="6"/>
  <c r="D23" i="6"/>
  <c r="E23" i="6"/>
  <c r="F23" i="6"/>
  <c r="G23" i="6"/>
  <c r="H23" i="6"/>
  <c r="I23" i="6"/>
  <c r="J23" i="6"/>
  <c r="K23" i="6"/>
  <c r="D24" i="6"/>
  <c r="E24" i="6"/>
  <c r="F24" i="6"/>
  <c r="G24" i="6"/>
  <c r="H24" i="6"/>
  <c r="I24" i="6"/>
  <c r="J24" i="6"/>
  <c r="K24" i="6"/>
  <c r="D25" i="6"/>
  <c r="E25" i="6"/>
  <c r="F25" i="6"/>
  <c r="G25" i="6"/>
  <c r="H25" i="6"/>
  <c r="I25" i="6"/>
  <c r="J25" i="6"/>
  <c r="K25" i="6"/>
  <c r="D26" i="6"/>
  <c r="E26" i="6"/>
  <c r="F26" i="6"/>
  <c r="G26" i="6"/>
  <c r="H26" i="6"/>
  <c r="I26" i="6"/>
  <c r="J26" i="6"/>
  <c r="K26" i="6"/>
  <c r="D27" i="6"/>
  <c r="E27" i="6"/>
  <c r="F27" i="6"/>
  <c r="G27" i="6"/>
  <c r="H27" i="6"/>
  <c r="I27" i="6"/>
  <c r="J27" i="6"/>
  <c r="K27" i="6"/>
  <c r="D28" i="6"/>
  <c r="E28" i="6"/>
  <c r="F28" i="6"/>
  <c r="G28" i="6"/>
  <c r="H28" i="6"/>
  <c r="I28" i="6"/>
  <c r="J28" i="6"/>
  <c r="K28" i="6"/>
  <c r="D29" i="6"/>
  <c r="E29" i="6"/>
  <c r="F29" i="6"/>
  <c r="G29" i="6"/>
  <c r="H29" i="6"/>
  <c r="I29" i="6"/>
  <c r="J29" i="6"/>
  <c r="K29" i="6"/>
  <c r="D30" i="6"/>
  <c r="E30" i="6"/>
  <c r="F30" i="6"/>
  <c r="G30" i="6"/>
  <c r="H30" i="6"/>
  <c r="I30" i="6"/>
  <c r="J30" i="6"/>
  <c r="K30" i="6"/>
  <c r="D31" i="6"/>
  <c r="E31" i="6"/>
  <c r="F31" i="6"/>
  <c r="G31" i="6"/>
  <c r="H31" i="6"/>
  <c r="I31" i="6"/>
  <c r="J31" i="6"/>
  <c r="K31" i="6"/>
  <c r="D32" i="6"/>
  <c r="E32" i="6"/>
  <c r="F32" i="6"/>
  <c r="G32" i="6"/>
  <c r="H32" i="6"/>
  <c r="I32" i="6"/>
  <c r="J32" i="6"/>
  <c r="K32" i="6"/>
  <c r="D33" i="6"/>
  <c r="E33" i="6"/>
  <c r="F33" i="6"/>
  <c r="G33" i="6"/>
  <c r="H33" i="6"/>
  <c r="I33" i="6"/>
  <c r="J33" i="6"/>
  <c r="K33" i="6"/>
  <c r="D34" i="6"/>
  <c r="E34" i="6"/>
  <c r="F34" i="6"/>
  <c r="G34" i="6"/>
  <c r="H34" i="6"/>
  <c r="I34" i="6"/>
  <c r="J34" i="6"/>
  <c r="K34" i="6"/>
  <c r="D35" i="6"/>
  <c r="E35" i="6"/>
  <c r="F35" i="6"/>
  <c r="G35" i="6"/>
  <c r="H35" i="6"/>
  <c r="I35" i="6"/>
  <c r="J35" i="6"/>
  <c r="K35" i="6"/>
  <c r="D36" i="6"/>
  <c r="E36" i="6"/>
  <c r="F36" i="6"/>
  <c r="G36" i="6"/>
  <c r="H36" i="6"/>
  <c r="I36" i="6"/>
  <c r="J36" i="6"/>
  <c r="K36" i="6"/>
  <c r="D37" i="6"/>
  <c r="E37" i="6"/>
  <c r="F37" i="6"/>
  <c r="G37" i="6"/>
  <c r="H37" i="6"/>
  <c r="I37" i="6"/>
  <c r="J37" i="6"/>
  <c r="K37" i="6"/>
  <c r="D38" i="6"/>
  <c r="E38" i="6"/>
  <c r="F38" i="6"/>
  <c r="G38" i="6"/>
  <c r="H38" i="6"/>
  <c r="I38" i="6"/>
  <c r="J38" i="6"/>
  <c r="K38" i="6"/>
  <c r="D39" i="6"/>
  <c r="E39" i="6"/>
  <c r="F39" i="6"/>
  <c r="G39" i="6"/>
  <c r="H39" i="6"/>
  <c r="I39" i="6"/>
  <c r="J39" i="6"/>
  <c r="K39" i="6"/>
  <c r="D40" i="6"/>
  <c r="E40" i="6"/>
  <c r="F40" i="6"/>
  <c r="G40" i="6"/>
  <c r="H40" i="6"/>
  <c r="I40" i="6"/>
  <c r="J40" i="6"/>
  <c r="K40" i="6"/>
  <c r="D41" i="6"/>
  <c r="E41" i="6"/>
  <c r="F41" i="6"/>
  <c r="G41" i="6"/>
  <c r="H41" i="6"/>
  <c r="I41" i="6"/>
  <c r="J41" i="6"/>
  <c r="K41" i="6"/>
  <c r="D42" i="6"/>
  <c r="E42" i="6"/>
  <c r="F42" i="6"/>
  <c r="G42" i="6"/>
  <c r="H42" i="6"/>
  <c r="I42" i="6"/>
  <c r="J42" i="6"/>
  <c r="K42" i="6"/>
  <c r="D43" i="6"/>
  <c r="E43" i="6"/>
  <c r="F43" i="6"/>
  <c r="G43" i="6"/>
  <c r="H43" i="6"/>
  <c r="I43" i="6"/>
  <c r="J43" i="6"/>
  <c r="K43" i="6"/>
  <c r="D44" i="6"/>
  <c r="E44" i="6"/>
  <c r="F44" i="6"/>
  <c r="G44" i="6"/>
  <c r="H44" i="6"/>
  <c r="I44" i="6"/>
  <c r="J44" i="6"/>
  <c r="K44" i="6"/>
  <c r="D45" i="6"/>
  <c r="E45" i="6"/>
  <c r="F45" i="6"/>
  <c r="G45" i="6"/>
  <c r="H45" i="6"/>
  <c r="I45" i="6"/>
  <c r="J45" i="6"/>
  <c r="K45" i="6"/>
  <c r="D46" i="6"/>
  <c r="E46" i="6"/>
  <c r="F46" i="6"/>
  <c r="G46" i="6"/>
  <c r="H46" i="6"/>
  <c r="I46" i="6"/>
  <c r="J46" i="6"/>
  <c r="K46" i="6"/>
  <c r="D47" i="6"/>
  <c r="E47" i="6"/>
  <c r="F47" i="6"/>
  <c r="G47" i="6"/>
  <c r="H47" i="6"/>
  <c r="I47" i="6"/>
  <c r="J47" i="6"/>
  <c r="K47" i="6"/>
  <c r="D48" i="6"/>
  <c r="E48" i="6"/>
  <c r="F48" i="6"/>
  <c r="G48" i="6"/>
  <c r="H48" i="6"/>
  <c r="I48" i="6"/>
  <c r="J48" i="6"/>
  <c r="K48" i="6"/>
  <c r="D49" i="6"/>
  <c r="E49" i="6"/>
  <c r="F49" i="6"/>
  <c r="G49" i="6"/>
  <c r="H49" i="6"/>
  <c r="I49" i="6"/>
  <c r="J49" i="6"/>
  <c r="K49" i="6"/>
  <c r="D50" i="6"/>
  <c r="E50" i="6"/>
  <c r="F50" i="6"/>
  <c r="G50" i="6"/>
  <c r="H50" i="6"/>
  <c r="I50" i="6"/>
  <c r="J50" i="6"/>
  <c r="K50" i="6"/>
  <c r="D51" i="6"/>
  <c r="E51" i="6"/>
  <c r="F51" i="6"/>
  <c r="G51" i="6"/>
  <c r="H51" i="6"/>
  <c r="I51" i="6"/>
  <c r="J51" i="6"/>
  <c r="K51" i="6"/>
  <c r="D52" i="6"/>
  <c r="E52" i="6"/>
  <c r="F52" i="6"/>
  <c r="G52" i="6"/>
  <c r="H52" i="6"/>
  <c r="I52" i="6"/>
  <c r="J52" i="6"/>
  <c r="K52" i="6"/>
  <c r="D53" i="6"/>
  <c r="E53" i="6"/>
  <c r="F53" i="6"/>
  <c r="G53" i="6"/>
  <c r="H53" i="6"/>
  <c r="I53" i="6"/>
  <c r="J53" i="6"/>
  <c r="K53" i="6"/>
  <c r="D54" i="6"/>
  <c r="E54" i="6"/>
  <c r="F54" i="6"/>
  <c r="G54" i="6"/>
  <c r="H54" i="6"/>
  <c r="I54" i="6"/>
  <c r="J54" i="6"/>
  <c r="K54" i="6"/>
  <c r="D55" i="6"/>
  <c r="E55" i="6"/>
  <c r="F55" i="6"/>
  <c r="G55" i="6"/>
  <c r="H55" i="6"/>
  <c r="I55" i="6"/>
  <c r="J55" i="6"/>
  <c r="K55" i="6"/>
  <c r="D56" i="6"/>
  <c r="E56" i="6"/>
  <c r="F56" i="6"/>
  <c r="G56" i="6"/>
  <c r="H56" i="6"/>
  <c r="I56" i="6"/>
  <c r="J56" i="6"/>
  <c r="K56" i="6"/>
  <c r="D57" i="6"/>
  <c r="E57" i="6"/>
  <c r="F57" i="6"/>
  <c r="G57" i="6"/>
  <c r="H57" i="6"/>
  <c r="I57" i="6"/>
  <c r="J57" i="6"/>
  <c r="K57" i="6"/>
  <c r="D58" i="6"/>
  <c r="E58" i="6"/>
  <c r="F58" i="6"/>
  <c r="G58" i="6"/>
  <c r="H58" i="6"/>
  <c r="I58" i="6"/>
  <c r="J58" i="6"/>
  <c r="K58" i="6"/>
  <c r="D59" i="6"/>
  <c r="E59" i="6"/>
  <c r="F59" i="6"/>
  <c r="G59" i="6"/>
  <c r="H59" i="6"/>
  <c r="I59" i="6"/>
  <c r="J59" i="6"/>
  <c r="K59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D20" i="5"/>
  <c r="E20" i="5"/>
  <c r="F20" i="5"/>
  <c r="G20" i="5"/>
  <c r="H20" i="5"/>
  <c r="I20" i="5"/>
  <c r="J20" i="5"/>
  <c r="K20" i="5"/>
  <c r="L20" i="5"/>
  <c r="D21" i="5"/>
  <c r="E21" i="5"/>
  <c r="F21" i="5"/>
  <c r="G21" i="5"/>
  <c r="H21" i="5"/>
  <c r="I21" i="5"/>
  <c r="J21" i="5"/>
  <c r="K21" i="5"/>
  <c r="L21" i="5"/>
  <c r="D22" i="5"/>
  <c r="E22" i="5"/>
  <c r="F22" i="5"/>
  <c r="G22" i="5"/>
  <c r="H22" i="5"/>
  <c r="I22" i="5"/>
  <c r="J22" i="5"/>
  <c r="K22" i="5"/>
  <c r="L22" i="5"/>
  <c r="D23" i="5"/>
  <c r="E23" i="5"/>
  <c r="F23" i="5"/>
  <c r="G23" i="5"/>
  <c r="H23" i="5"/>
  <c r="I23" i="5"/>
  <c r="J23" i="5"/>
  <c r="K23" i="5"/>
  <c r="L23" i="5"/>
  <c r="D24" i="5"/>
  <c r="E24" i="5"/>
  <c r="F24" i="5"/>
  <c r="G24" i="5"/>
  <c r="H24" i="5"/>
  <c r="I24" i="5"/>
  <c r="J24" i="5"/>
  <c r="K24" i="5"/>
  <c r="L24" i="5"/>
  <c r="D25" i="5"/>
  <c r="E25" i="5"/>
  <c r="F25" i="5"/>
  <c r="G25" i="5"/>
  <c r="H25" i="5"/>
  <c r="I25" i="5"/>
  <c r="J25" i="5"/>
  <c r="K25" i="5"/>
  <c r="L25" i="5"/>
  <c r="D26" i="5"/>
  <c r="E26" i="5"/>
  <c r="F26" i="5"/>
  <c r="G26" i="5"/>
  <c r="H26" i="5"/>
  <c r="I26" i="5"/>
  <c r="J26" i="5"/>
  <c r="K26" i="5"/>
  <c r="L26" i="5"/>
  <c r="D27" i="5"/>
  <c r="E27" i="5"/>
  <c r="F27" i="5"/>
  <c r="G27" i="5"/>
  <c r="H27" i="5"/>
  <c r="I27" i="5"/>
  <c r="J27" i="5"/>
  <c r="K27" i="5"/>
  <c r="L27" i="5"/>
  <c r="D28" i="5"/>
  <c r="E28" i="5"/>
  <c r="F28" i="5"/>
  <c r="G28" i="5"/>
  <c r="H28" i="5"/>
  <c r="I28" i="5"/>
  <c r="J28" i="5"/>
  <c r="K28" i="5"/>
  <c r="L28" i="5"/>
  <c r="D29" i="5"/>
  <c r="E29" i="5"/>
  <c r="F29" i="5"/>
  <c r="G29" i="5"/>
  <c r="H29" i="5"/>
  <c r="I29" i="5"/>
  <c r="J29" i="5"/>
  <c r="K29" i="5"/>
  <c r="L29" i="5"/>
  <c r="D30" i="5"/>
  <c r="E30" i="5"/>
  <c r="F30" i="5"/>
  <c r="G30" i="5"/>
  <c r="H30" i="5"/>
  <c r="I30" i="5"/>
  <c r="J30" i="5"/>
  <c r="K30" i="5"/>
  <c r="L30" i="5"/>
  <c r="D31" i="5"/>
  <c r="E31" i="5"/>
  <c r="F31" i="5"/>
  <c r="G31" i="5"/>
  <c r="H31" i="5"/>
  <c r="I31" i="5"/>
  <c r="J31" i="5"/>
  <c r="K31" i="5"/>
  <c r="L31" i="5"/>
  <c r="D32" i="5"/>
  <c r="E32" i="5"/>
  <c r="F32" i="5"/>
  <c r="G32" i="5"/>
  <c r="H32" i="5"/>
  <c r="I32" i="5"/>
  <c r="J32" i="5"/>
  <c r="K32" i="5"/>
  <c r="L32" i="5"/>
  <c r="D33" i="5"/>
  <c r="E33" i="5"/>
  <c r="F33" i="5"/>
  <c r="G33" i="5"/>
  <c r="H33" i="5"/>
  <c r="I33" i="5"/>
  <c r="J33" i="5"/>
  <c r="K33" i="5"/>
  <c r="L33" i="5"/>
  <c r="D34" i="5"/>
  <c r="E34" i="5"/>
  <c r="F34" i="5"/>
  <c r="G34" i="5"/>
  <c r="H34" i="5"/>
  <c r="I34" i="5"/>
  <c r="J34" i="5"/>
  <c r="K34" i="5"/>
  <c r="L34" i="5"/>
  <c r="D35" i="5"/>
  <c r="E35" i="5"/>
  <c r="F35" i="5"/>
  <c r="G35" i="5"/>
  <c r="H35" i="5"/>
  <c r="I35" i="5"/>
  <c r="J35" i="5"/>
  <c r="K35" i="5"/>
  <c r="L35" i="5"/>
  <c r="D36" i="5"/>
  <c r="E36" i="5"/>
  <c r="F36" i="5"/>
  <c r="G36" i="5"/>
  <c r="H36" i="5"/>
  <c r="I36" i="5"/>
  <c r="J36" i="5"/>
  <c r="K36" i="5"/>
  <c r="L36" i="5"/>
  <c r="D37" i="5"/>
  <c r="E37" i="5"/>
  <c r="F37" i="5"/>
  <c r="G37" i="5"/>
  <c r="H37" i="5"/>
  <c r="I37" i="5"/>
  <c r="J37" i="5"/>
  <c r="K37" i="5"/>
  <c r="L37" i="5"/>
  <c r="D38" i="5"/>
  <c r="E38" i="5"/>
  <c r="F38" i="5"/>
  <c r="G38" i="5"/>
  <c r="H38" i="5"/>
  <c r="I38" i="5"/>
  <c r="J38" i="5"/>
  <c r="K38" i="5"/>
  <c r="L38" i="5"/>
  <c r="D39" i="5"/>
  <c r="E39" i="5"/>
  <c r="F39" i="5"/>
  <c r="G39" i="5"/>
  <c r="H39" i="5"/>
  <c r="I39" i="5"/>
  <c r="J39" i="5"/>
  <c r="K39" i="5"/>
  <c r="L39" i="5"/>
  <c r="D40" i="5"/>
  <c r="E40" i="5"/>
  <c r="F40" i="5"/>
  <c r="G40" i="5"/>
  <c r="H40" i="5"/>
  <c r="I40" i="5"/>
  <c r="J40" i="5"/>
  <c r="K40" i="5"/>
  <c r="L40" i="5"/>
  <c r="D41" i="5"/>
  <c r="E41" i="5"/>
  <c r="F41" i="5"/>
  <c r="G41" i="5"/>
  <c r="H41" i="5"/>
  <c r="I41" i="5"/>
  <c r="J41" i="5"/>
  <c r="K41" i="5"/>
  <c r="L41" i="5"/>
  <c r="D42" i="5"/>
  <c r="E42" i="5"/>
  <c r="F42" i="5"/>
  <c r="G42" i="5"/>
  <c r="H42" i="5"/>
  <c r="I42" i="5"/>
  <c r="J42" i="5"/>
  <c r="K42" i="5"/>
  <c r="L42" i="5"/>
  <c r="D43" i="5"/>
  <c r="E43" i="5"/>
  <c r="F43" i="5"/>
  <c r="G43" i="5"/>
  <c r="H43" i="5"/>
  <c r="I43" i="5"/>
  <c r="J43" i="5"/>
  <c r="K43" i="5"/>
  <c r="L43" i="5"/>
  <c r="D44" i="5"/>
  <c r="E44" i="5"/>
  <c r="F44" i="5"/>
  <c r="G44" i="5"/>
  <c r="H44" i="5"/>
  <c r="I44" i="5"/>
  <c r="J44" i="5"/>
  <c r="K44" i="5"/>
  <c r="L44" i="5"/>
  <c r="D45" i="5"/>
  <c r="E45" i="5"/>
  <c r="F45" i="5"/>
  <c r="G45" i="5"/>
  <c r="H45" i="5"/>
  <c r="I45" i="5"/>
  <c r="J45" i="5"/>
  <c r="K45" i="5"/>
  <c r="L45" i="5"/>
  <c r="D46" i="5"/>
  <c r="E46" i="5"/>
  <c r="F46" i="5"/>
  <c r="G46" i="5"/>
  <c r="H46" i="5"/>
  <c r="I46" i="5"/>
  <c r="J46" i="5"/>
  <c r="K46" i="5"/>
  <c r="L46" i="5"/>
  <c r="D47" i="5"/>
  <c r="E47" i="5"/>
  <c r="F47" i="5"/>
  <c r="G47" i="5"/>
  <c r="H47" i="5"/>
  <c r="I47" i="5"/>
  <c r="J47" i="5"/>
  <c r="K47" i="5"/>
  <c r="L47" i="5"/>
  <c r="D48" i="5"/>
  <c r="E48" i="5"/>
  <c r="F48" i="5"/>
  <c r="G48" i="5"/>
  <c r="H48" i="5"/>
  <c r="I48" i="5"/>
  <c r="J48" i="5"/>
  <c r="K48" i="5"/>
  <c r="L48" i="5"/>
  <c r="D49" i="5"/>
  <c r="E49" i="5"/>
  <c r="F49" i="5"/>
  <c r="G49" i="5"/>
  <c r="H49" i="5"/>
  <c r="I49" i="5"/>
  <c r="J49" i="5"/>
  <c r="K49" i="5"/>
  <c r="L49" i="5"/>
  <c r="D50" i="5"/>
  <c r="E50" i="5"/>
  <c r="F50" i="5"/>
  <c r="G50" i="5"/>
  <c r="H50" i="5"/>
  <c r="I50" i="5"/>
  <c r="J50" i="5"/>
  <c r="K50" i="5"/>
  <c r="L50" i="5"/>
  <c r="D51" i="5"/>
  <c r="E51" i="5"/>
  <c r="F51" i="5"/>
  <c r="G51" i="5"/>
  <c r="H51" i="5"/>
  <c r="I51" i="5"/>
  <c r="J51" i="5"/>
  <c r="K51" i="5"/>
  <c r="L51" i="5"/>
  <c r="D52" i="5"/>
  <c r="E52" i="5"/>
  <c r="F52" i="5"/>
  <c r="G52" i="5"/>
  <c r="H52" i="5"/>
  <c r="I52" i="5"/>
  <c r="J52" i="5"/>
  <c r="K52" i="5"/>
  <c r="L52" i="5"/>
  <c r="D53" i="5"/>
  <c r="E53" i="5"/>
  <c r="F53" i="5"/>
  <c r="G53" i="5"/>
  <c r="H53" i="5"/>
  <c r="I53" i="5"/>
  <c r="J53" i="5"/>
  <c r="K53" i="5"/>
  <c r="L53" i="5"/>
  <c r="D54" i="5"/>
  <c r="E54" i="5"/>
  <c r="F54" i="5"/>
  <c r="G54" i="5"/>
  <c r="H54" i="5"/>
  <c r="I54" i="5"/>
  <c r="J54" i="5"/>
  <c r="K54" i="5"/>
  <c r="L54" i="5"/>
  <c r="D55" i="5"/>
  <c r="E55" i="5"/>
  <c r="F55" i="5"/>
  <c r="G55" i="5"/>
  <c r="H55" i="5"/>
  <c r="I55" i="5"/>
  <c r="J55" i="5"/>
  <c r="K55" i="5"/>
  <c r="L55" i="5"/>
  <c r="D56" i="5"/>
  <c r="E56" i="5"/>
  <c r="F56" i="5"/>
  <c r="G56" i="5"/>
  <c r="H56" i="5"/>
  <c r="I56" i="5"/>
  <c r="J56" i="5"/>
  <c r="K56" i="5"/>
  <c r="L56" i="5"/>
  <c r="D57" i="5"/>
  <c r="E57" i="5"/>
  <c r="F57" i="5"/>
  <c r="G57" i="5"/>
  <c r="H57" i="5"/>
  <c r="I57" i="5"/>
  <c r="J57" i="5"/>
  <c r="K57" i="5"/>
  <c r="L57" i="5"/>
  <c r="D58" i="5"/>
  <c r="E58" i="5"/>
  <c r="F58" i="5"/>
  <c r="G58" i="5"/>
  <c r="H58" i="5"/>
  <c r="I58" i="5"/>
  <c r="J58" i="5"/>
  <c r="K58" i="5"/>
  <c r="L58" i="5"/>
  <c r="D59" i="5"/>
  <c r="E59" i="5"/>
  <c r="F59" i="5"/>
  <c r="G59" i="5"/>
  <c r="H59" i="5"/>
  <c r="I59" i="5"/>
  <c r="J59" i="5"/>
  <c r="K59" i="5"/>
  <c r="L59" i="5"/>
  <c r="C12" i="4"/>
  <c r="Y5" i="12"/>
  <c r="Y7" i="12"/>
  <c r="Y9" i="12"/>
  <c r="Y10" i="12"/>
  <c r="Y13" i="12"/>
  <c r="Y16" i="12"/>
  <c r="Y19" i="12"/>
  <c r="Y20" i="12"/>
  <c r="Y21" i="12"/>
  <c r="Y22" i="12"/>
  <c r="Y23" i="12"/>
  <c r="Y24" i="12"/>
  <c r="Y25" i="12"/>
  <c r="Y26" i="12"/>
  <c r="Y28" i="12"/>
  <c r="Y29" i="12"/>
  <c r="Y31" i="12"/>
  <c r="Y32" i="12"/>
  <c r="Y33" i="12"/>
  <c r="Y35" i="12"/>
  <c r="Y36" i="12"/>
  <c r="Y37" i="12"/>
  <c r="Y40" i="12"/>
  <c r="Y41" i="12"/>
  <c r="U47" i="4"/>
  <c r="Y2" i="12" s="1"/>
  <c r="X3" i="12"/>
  <c r="X5" i="12"/>
  <c r="X9" i="12"/>
  <c r="X10" i="12"/>
  <c r="X13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9" i="12"/>
  <c r="X30" i="12"/>
  <c r="X31" i="12"/>
  <c r="X34" i="12"/>
  <c r="X35" i="12"/>
  <c r="X36" i="12"/>
  <c r="X37" i="12"/>
  <c r="X39" i="12"/>
  <c r="X40" i="12"/>
  <c r="X41" i="12"/>
  <c r="T47" i="4"/>
  <c r="X2" i="12" s="1"/>
  <c r="W3" i="12"/>
  <c r="W5" i="12"/>
  <c r="W10" i="12"/>
  <c r="W11" i="12"/>
  <c r="W13" i="12"/>
  <c r="W14" i="12"/>
  <c r="W15" i="12"/>
  <c r="W17" i="12"/>
  <c r="W18" i="12"/>
  <c r="W22" i="12"/>
  <c r="W23" i="12"/>
  <c r="W25" i="12"/>
  <c r="W26" i="12"/>
  <c r="W27" i="12"/>
  <c r="W28" i="12"/>
  <c r="W29" i="12"/>
  <c r="W32" i="12"/>
  <c r="W33" i="12"/>
  <c r="W35" i="12"/>
  <c r="W36" i="12"/>
  <c r="W37" i="12"/>
  <c r="W38" i="12"/>
  <c r="W39" i="12"/>
  <c r="W40" i="12"/>
  <c r="W41" i="12"/>
  <c r="S47" i="4"/>
  <c r="W2" i="12" s="1"/>
  <c r="V3" i="12"/>
  <c r="V6" i="12"/>
  <c r="V12" i="12"/>
  <c r="V15" i="12"/>
  <c r="V16" i="12"/>
  <c r="V27" i="12"/>
  <c r="V28" i="12"/>
  <c r="V30" i="12"/>
  <c r="V31" i="12"/>
  <c r="V36" i="12"/>
  <c r="V40" i="12"/>
  <c r="V2" i="12"/>
  <c r="D64" i="7" l="1"/>
  <c r="F63" i="7"/>
  <c r="D62" i="9"/>
  <c r="E63" i="7"/>
  <c r="D65" i="7"/>
  <c r="D65" i="9"/>
  <c r="D61" i="9"/>
  <c r="C62" i="9"/>
  <c r="G64" i="7"/>
  <c r="E61" i="9"/>
  <c r="D63" i="7"/>
  <c r="D64" i="9"/>
  <c r="I62" i="5"/>
  <c r="I65" i="6"/>
  <c r="C61" i="9"/>
  <c r="E62" i="9"/>
  <c r="D63" i="9"/>
  <c r="C63" i="9"/>
  <c r="L61" i="5"/>
  <c r="F65" i="5"/>
  <c r="K61" i="6"/>
  <c r="J63" i="6"/>
  <c r="J61" i="6"/>
  <c r="J64" i="6"/>
  <c r="J62" i="6"/>
  <c r="L62" i="5"/>
  <c r="H65" i="5"/>
  <c r="H63" i="5"/>
  <c r="H62" i="5"/>
  <c r="J63" i="5"/>
  <c r="H64" i="6"/>
  <c r="H61" i="6"/>
  <c r="H62" i="6"/>
  <c r="H63" i="6"/>
  <c r="H65" i="6"/>
  <c r="D62" i="6"/>
  <c r="K62" i="5"/>
  <c r="G65" i="6"/>
  <c r="L65" i="5"/>
  <c r="F64" i="5"/>
  <c r="I63" i="5"/>
  <c r="I64" i="6"/>
  <c r="I62" i="6"/>
  <c r="I63" i="6"/>
  <c r="J65" i="6"/>
  <c r="G61" i="5"/>
  <c r="J64" i="5"/>
  <c r="G64" i="6"/>
  <c r="G61" i="6"/>
  <c r="G62" i="6"/>
  <c r="B64" i="9"/>
  <c r="B63" i="9"/>
  <c r="B65" i="9"/>
  <c r="B61" i="9"/>
  <c r="G64" i="5"/>
  <c r="B62" i="9"/>
  <c r="F65" i="7"/>
  <c r="F61" i="7"/>
  <c r="G63" i="6"/>
  <c r="E62" i="7"/>
  <c r="E65" i="7"/>
  <c r="E61" i="7"/>
  <c r="C64" i="9"/>
  <c r="J61" i="5"/>
  <c r="D65" i="5"/>
  <c r="G63" i="5"/>
  <c r="J62" i="5"/>
  <c r="D64" i="5"/>
  <c r="F64" i="7"/>
  <c r="D61" i="7"/>
  <c r="E63" i="9"/>
  <c r="E64" i="9"/>
  <c r="E65" i="9"/>
  <c r="G62" i="7"/>
  <c r="I64" i="5"/>
  <c r="F61" i="5"/>
  <c r="F65" i="6"/>
  <c r="C65" i="9"/>
  <c r="E64" i="5"/>
  <c r="H64" i="5"/>
  <c r="K61" i="5"/>
  <c r="E65" i="5"/>
  <c r="I61" i="6"/>
  <c r="E63" i="6"/>
  <c r="F62" i="7"/>
  <c r="D61" i="5"/>
  <c r="D64" i="6"/>
  <c r="D63" i="6"/>
  <c r="E64" i="7"/>
  <c r="F62" i="5"/>
  <c r="I61" i="5"/>
  <c r="D62" i="7"/>
  <c r="G61" i="7"/>
  <c r="G65" i="7"/>
  <c r="G63" i="7"/>
  <c r="C65" i="7"/>
  <c r="C62" i="7"/>
  <c r="C63" i="7"/>
  <c r="C64" i="7"/>
  <c r="F62" i="6"/>
  <c r="E62" i="6"/>
  <c r="D65" i="6"/>
  <c r="D61" i="6"/>
  <c r="K65" i="6"/>
  <c r="K64" i="6"/>
  <c r="K63" i="6"/>
  <c r="K62" i="6"/>
  <c r="F63" i="6"/>
  <c r="E64" i="6"/>
  <c r="F64" i="6"/>
  <c r="E65" i="6"/>
  <c r="E61" i="6"/>
  <c r="F61" i="6"/>
  <c r="C65" i="6"/>
  <c r="C64" i="6"/>
  <c r="C62" i="6"/>
  <c r="C63" i="6"/>
  <c r="G62" i="5"/>
  <c r="L64" i="5"/>
  <c r="E63" i="5"/>
  <c r="J65" i="5"/>
  <c r="K64" i="5"/>
  <c r="L63" i="5"/>
  <c r="D63" i="5"/>
  <c r="E62" i="5"/>
  <c r="H61" i="5"/>
  <c r="D62" i="5"/>
  <c r="F63" i="5"/>
  <c r="K65" i="5"/>
  <c r="I65" i="5"/>
  <c r="K63" i="5"/>
  <c r="E61" i="5"/>
  <c r="G65" i="5"/>
  <c r="C65" i="5"/>
  <c r="C62" i="5"/>
  <c r="C63" i="5"/>
  <c r="C64" i="5"/>
  <c r="D47" i="4"/>
  <c r="H2" i="12" s="1"/>
  <c r="E47" i="4"/>
  <c r="I2" i="12" s="1"/>
  <c r="F47" i="4"/>
  <c r="J2" i="12" s="1"/>
  <c r="G47" i="4"/>
  <c r="K2" i="12" s="1"/>
  <c r="H47" i="4"/>
  <c r="L2" i="12" s="1"/>
  <c r="I47" i="4"/>
  <c r="M2" i="12" s="1"/>
  <c r="J47" i="4"/>
  <c r="N2" i="12" s="1"/>
  <c r="K47" i="4"/>
  <c r="O2" i="12" s="1"/>
  <c r="L47" i="4"/>
  <c r="P2" i="12" s="1"/>
  <c r="M47" i="4"/>
  <c r="Q2" i="12" s="1"/>
  <c r="N47" i="4"/>
  <c r="R2" i="12" s="1"/>
  <c r="O47" i="4"/>
  <c r="S2" i="12" s="1"/>
  <c r="P47" i="4"/>
  <c r="T2" i="12" s="1"/>
  <c r="Q47" i="4"/>
  <c r="U2" i="12" s="1"/>
  <c r="V47" i="4"/>
  <c r="Z2" i="12" s="1"/>
  <c r="W47" i="4"/>
  <c r="AA2" i="12" s="1"/>
  <c r="X47" i="4"/>
  <c r="AB2" i="12" s="1"/>
  <c r="Y47" i="4"/>
  <c r="AC2" i="12" s="1"/>
  <c r="Z47" i="4"/>
  <c r="AD2" i="12" s="1"/>
  <c r="AA47" i="4"/>
  <c r="AE2" i="12" s="1"/>
  <c r="AB47" i="4"/>
  <c r="AF2" i="12" s="1"/>
  <c r="AC47" i="4"/>
  <c r="AG2" i="12" s="1"/>
  <c r="AD47" i="4"/>
  <c r="AE47" i="4"/>
  <c r="AF47" i="4"/>
  <c r="B21" i="11" s="1"/>
  <c r="AG47" i="4"/>
  <c r="C21" i="11" s="1"/>
  <c r="AH47" i="4"/>
  <c r="D21" i="11" s="1"/>
  <c r="D48" i="4"/>
  <c r="H3" i="12" s="1"/>
  <c r="E48" i="4"/>
  <c r="I3" i="12" s="1"/>
  <c r="F48" i="4"/>
  <c r="J3" i="12" s="1"/>
  <c r="G48" i="4"/>
  <c r="K3" i="12" s="1"/>
  <c r="H48" i="4"/>
  <c r="L3" i="12" s="1"/>
  <c r="I48" i="4"/>
  <c r="M3" i="12" s="1"/>
  <c r="J48" i="4"/>
  <c r="N3" i="12" s="1"/>
  <c r="K48" i="4"/>
  <c r="O3" i="12" s="1"/>
  <c r="L48" i="4"/>
  <c r="P3" i="12" s="1"/>
  <c r="M48" i="4"/>
  <c r="Q3" i="12" s="1"/>
  <c r="N48" i="4"/>
  <c r="R3" i="12" s="1"/>
  <c r="O48" i="4"/>
  <c r="S3" i="12" s="1"/>
  <c r="T3" i="12"/>
  <c r="Q48" i="4"/>
  <c r="U3" i="12" s="1"/>
  <c r="Z3" i="12"/>
  <c r="W48" i="4"/>
  <c r="AA3" i="12" s="1"/>
  <c r="X48" i="4"/>
  <c r="AB3" i="12" s="1"/>
  <c r="Y48" i="4"/>
  <c r="AC3" i="12" s="1"/>
  <c r="Z48" i="4"/>
  <c r="AD3" i="12" s="1"/>
  <c r="AA48" i="4"/>
  <c r="AE3" i="12" s="1"/>
  <c r="AB48" i="4"/>
  <c r="AF3" i="12" s="1"/>
  <c r="AC48" i="4"/>
  <c r="AG3" i="12" s="1"/>
  <c r="AD48" i="4"/>
  <c r="AE48" i="4"/>
  <c r="AF48" i="4"/>
  <c r="B22" i="11" s="1"/>
  <c r="AG48" i="4"/>
  <c r="C22" i="11" s="1"/>
  <c r="AH48" i="4"/>
  <c r="D22" i="11" s="1"/>
  <c r="D49" i="4"/>
  <c r="H4" i="12" s="1"/>
  <c r="E49" i="4"/>
  <c r="I4" i="12" s="1"/>
  <c r="J4" i="12"/>
  <c r="G49" i="4"/>
  <c r="K4" i="12" s="1"/>
  <c r="H49" i="4"/>
  <c r="L4" i="12" s="1"/>
  <c r="I49" i="4"/>
  <c r="M4" i="12" s="1"/>
  <c r="J49" i="4"/>
  <c r="N4" i="12" s="1"/>
  <c r="K49" i="4"/>
  <c r="O4" i="12" s="1"/>
  <c r="L49" i="4"/>
  <c r="P4" i="12" s="1"/>
  <c r="M49" i="4"/>
  <c r="Q4" i="12" s="1"/>
  <c r="N49" i="4"/>
  <c r="R4" i="12" s="1"/>
  <c r="O49" i="4"/>
  <c r="S4" i="12" s="1"/>
  <c r="P49" i="4"/>
  <c r="T4" i="12" s="1"/>
  <c r="Q49" i="4"/>
  <c r="U4" i="12" s="1"/>
  <c r="V49" i="4"/>
  <c r="Z4" i="12" s="1"/>
  <c r="W49" i="4"/>
  <c r="AA4" i="12" s="1"/>
  <c r="X49" i="4"/>
  <c r="AB4" i="12" s="1"/>
  <c r="Y49" i="4"/>
  <c r="AC4" i="12" s="1"/>
  <c r="AD4" i="12"/>
  <c r="AA49" i="4"/>
  <c r="AE4" i="12" s="1"/>
  <c r="AB49" i="4"/>
  <c r="AF4" i="12" s="1"/>
  <c r="AC49" i="4"/>
  <c r="AG4" i="12" s="1"/>
  <c r="AD49" i="4"/>
  <c r="AE49" i="4"/>
  <c r="AF49" i="4"/>
  <c r="B23" i="11" s="1"/>
  <c r="AG49" i="4"/>
  <c r="C23" i="11" s="1"/>
  <c r="AH49" i="4"/>
  <c r="D23" i="11" s="1"/>
  <c r="D50" i="4"/>
  <c r="H5" i="12" s="1"/>
  <c r="E50" i="4"/>
  <c r="I5" i="12" s="1"/>
  <c r="F50" i="4"/>
  <c r="J5" i="12" s="1"/>
  <c r="G50" i="4"/>
  <c r="K5" i="12" s="1"/>
  <c r="H50" i="4"/>
  <c r="L5" i="12" s="1"/>
  <c r="I50" i="4"/>
  <c r="M5" i="12" s="1"/>
  <c r="J50" i="4"/>
  <c r="N5" i="12" s="1"/>
  <c r="K50" i="4"/>
  <c r="O5" i="12" s="1"/>
  <c r="L50" i="4"/>
  <c r="P5" i="12" s="1"/>
  <c r="M50" i="4"/>
  <c r="Q5" i="12" s="1"/>
  <c r="N50" i="4"/>
  <c r="R5" i="12" s="1"/>
  <c r="O50" i="4"/>
  <c r="S5" i="12" s="1"/>
  <c r="P50" i="4"/>
  <c r="T5" i="12" s="1"/>
  <c r="Q50" i="4"/>
  <c r="U5" i="12" s="1"/>
  <c r="V50" i="4"/>
  <c r="Z5" i="12" s="1"/>
  <c r="W50" i="4"/>
  <c r="AA5" i="12" s="1"/>
  <c r="X50" i="4"/>
  <c r="AB5" i="12" s="1"/>
  <c r="Y50" i="4"/>
  <c r="AC5" i="12" s="1"/>
  <c r="Z50" i="4"/>
  <c r="AD5" i="12" s="1"/>
  <c r="AA50" i="4"/>
  <c r="AE5" i="12" s="1"/>
  <c r="AB50" i="4"/>
  <c r="AF5" i="12" s="1"/>
  <c r="AC50" i="4"/>
  <c r="AG5" i="12" s="1"/>
  <c r="AD50" i="4"/>
  <c r="AE50" i="4"/>
  <c r="AF50" i="4"/>
  <c r="B24" i="11" s="1"/>
  <c r="AG50" i="4"/>
  <c r="C24" i="11" s="1"/>
  <c r="AH50" i="4"/>
  <c r="D24" i="11" s="1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Z6" i="12"/>
  <c r="AA6" i="12"/>
  <c r="AB6" i="12"/>
  <c r="AC6" i="12"/>
  <c r="AD6" i="12"/>
  <c r="AE6" i="12"/>
  <c r="AF6" i="12"/>
  <c r="AG6" i="12"/>
  <c r="AF51" i="4"/>
  <c r="B25" i="11" s="1"/>
  <c r="C25" i="11"/>
  <c r="D25" i="11"/>
  <c r="D52" i="4"/>
  <c r="H7" i="12" s="1"/>
  <c r="E52" i="4"/>
  <c r="I7" i="12" s="1"/>
  <c r="F52" i="4"/>
  <c r="J7" i="12" s="1"/>
  <c r="G52" i="4"/>
  <c r="K7" i="12" s="1"/>
  <c r="H52" i="4"/>
  <c r="L7" i="12" s="1"/>
  <c r="I52" i="4"/>
  <c r="M7" i="12" s="1"/>
  <c r="J52" i="4"/>
  <c r="N7" i="12" s="1"/>
  <c r="K52" i="4"/>
  <c r="O7" i="12" s="1"/>
  <c r="L52" i="4"/>
  <c r="P7" i="12" s="1"/>
  <c r="M52" i="4"/>
  <c r="Q7" i="12" s="1"/>
  <c r="N52" i="4"/>
  <c r="R7" i="12" s="1"/>
  <c r="O52" i="4"/>
  <c r="S7" i="12" s="1"/>
  <c r="P52" i="4"/>
  <c r="T7" i="12" s="1"/>
  <c r="Q52" i="4"/>
  <c r="U7" i="12" s="1"/>
  <c r="V52" i="4"/>
  <c r="Z7" i="12" s="1"/>
  <c r="W52" i="4"/>
  <c r="AA7" i="12" s="1"/>
  <c r="X52" i="4"/>
  <c r="AB7" i="12" s="1"/>
  <c r="Y52" i="4"/>
  <c r="AC7" i="12" s="1"/>
  <c r="Z52" i="4"/>
  <c r="AD7" i="12" s="1"/>
  <c r="AA52" i="4"/>
  <c r="AE7" i="12" s="1"/>
  <c r="AB52" i="4"/>
  <c r="AF7" i="12" s="1"/>
  <c r="AC52" i="4"/>
  <c r="AG7" i="12" s="1"/>
  <c r="AD52" i="4"/>
  <c r="AE52" i="4"/>
  <c r="AF52" i="4"/>
  <c r="B26" i="11" s="1"/>
  <c r="AG52" i="4"/>
  <c r="C26" i="11" s="1"/>
  <c r="AH52" i="4"/>
  <c r="D26" i="11" s="1"/>
  <c r="D53" i="4"/>
  <c r="H8" i="12" s="1"/>
  <c r="E53" i="4"/>
  <c r="I8" i="12" s="1"/>
  <c r="F53" i="4"/>
  <c r="J8" i="12" s="1"/>
  <c r="G53" i="4"/>
  <c r="K8" i="12" s="1"/>
  <c r="H53" i="4"/>
  <c r="L8" i="12" s="1"/>
  <c r="I53" i="4"/>
  <c r="M8" i="12" s="1"/>
  <c r="J53" i="4"/>
  <c r="N8" i="12" s="1"/>
  <c r="K53" i="4"/>
  <c r="O8" i="12" s="1"/>
  <c r="L53" i="4"/>
  <c r="P8" i="12" s="1"/>
  <c r="M53" i="4"/>
  <c r="Q8" i="12" s="1"/>
  <c r="N53" i="4"/>
  <c r="R8" i="12" s="1"/>
  <c r="O53" i="4"/>
  <c r="S8" i="12" s="1"/>
  <c r="P53" i="4"/>
  <c r="T8" i="12" s="1"/>
  <c r="Q53" i="4"/>
  <c r="U8" i="12" s="1"/>
  <c r="V53" i="4"/>
  <c r="Z8" i="12" s="1"/>
  <c r="W53" i="4"/>
  <c r="AA8" i="12" s="1"/>
  <c r="X53" i="4"/>
  <c r="AB8" i="12" s="1"/>
  <c r="Y53" i="4"/>
  <c r="AC8" i="12" s="1"/>
  <c r="Z53" i="4"/>
  <c r="AD8" i="12" s="1"/>
  <c r="AA53" i="4"/>
  <c r="AE8" i="12" s="1"/>
  <c r="AB53" i="4"/>
  <c r="AF8" i="12" s="1"/>
  <c r="AC53" i="4"/>
  <c r="AG8" i="12" s="1"/>
  <c r="AD53" i="4"/>
  <c r="AE53" i="4"/>
  <c r="AF53" i="4"/>
  <c r="B27" i="11" s="1"/>
  <c r="AG53" i="4"/>
  <c r="C27" i="11" s="1"/>
  <c r="AH53" i="4"/>
  <c r="D27" i="11" s="1"/>
  <c r="D54" i="4"/>
  <c r="H9" i="12" s="1"/>
  <c r="E54" i="4"/>
  <c r="I9" i="12" s="1"/>
  <c r="F54" i="4"/>
  <c r="J9" i="12" s="1"/>
  <c r="G54" i="4"/>
  <c r="K9" i="12" s="1"/>
  <c r="H54" i="4"/>
  <c r="L9" i="12" s="1"/>
  <c r="I54" i="4"/>
  <c r="M9" i="12" s="1"/>
  <c r="J54" i="4"/>
  <c r="N9" i="12" s="1"/>
  <c r="K54" i="4"/>
  <c r="O9" i="12" s="1"/>
  <c r="L54" i="4"/>
  <c r="P9" i="12" s="1"/>
  <c r="M54" i="4"/>
  <c r="Q9" i="12" s="1"/>
  <c r="N54" i="4"/>
  <c r="R9" i="12" s="1"/>
  <c r="O54" i="4"/>
  <c r="S9" i="12" s="1"/>
  <c r="P54" i="4"/>
  <c r="T9" i="12" s="1"/>
  <c r="Q54" i="4"/>
  <c r="U9" i="12" s="1"/>
  <c r="V54" i="4"/>
  <c r="Z9" i="12" s="1"/>
  <c r="W54" i="4"/>
  <c r="AA9" i="12" s="1"/>
  <c r="X54" i="4"/>
  <c r="AB9" i="12" s="1"/>
  <c r="Y54" i="4"/>
  <c r="AC9" i="12" s="1"/>
  <c r="Z54" i="4"/>
  <c r="AD9" i="12" s="1"/>
  <c r="AA54" i="4"/>
  <c r="AE9" i="12" s="1"/>
  <c r="AB54" i="4"/>
  <c r="AF9" i="12" s="1"/>
  <c r="AC54" i="4"/>
  <c r="AG9" i="12" s="1"/>
  <c r="AD54" i="4"/>
  <c r="AE54" i="4"/>
  <c r="AF54" i="4"/>
  <c r="B28" i="11" s="1"/>
  <c r="AG54" i="4"/>
  <c r="C28" i="11" s="1"/>
  <c r="AH54" i="4"/>
  <c r="D28" i="11" s="1"/>
  <c r="D55" i="4"/>
  <c r="H10" i="12" s="1"/>
  <c r="E55" i="4"/>
  <c r="I10" i="12" s="1"/>
  <c r="F55" i="4"/>
  <c r="J10" i="12" s="1"/>
  <c r="G55" i="4"/>
  <c r="K10" i="12" s="1"/>
  <c r="H55" i="4"/>
  <c r="L10" i="12" s="1"/>
  <c r="I55" i="4"/>
  <c r="M10" i="12" s="1"/>
  <c r="J55" i="4"/>
  <c r="N10" i="12" s="1"/>
  <c r="K55" i="4"/>
  <c r="O10" i="12" s="1"/>
  <c r="L55" i="4"/>
  <c r="P10" i="12" s="1"/>
  <c r="M55" i="4"/>
  <c r="Q10" i="12" s="1"/>
  <c r="N55" i="4"/>
  <c r="R10" i="12" s="1"/>
  <c r="O55" i="4"/>
  <c r="S10" i="12" s="1"/>
  <c r="P55" i="4"/>
  <c r="T10" i="12" s="1"/>
  <c r="Q55" i="4"/>
  <c r="U10" i="12" s="1"/>
  <c r="V55" i="4"/>
  <c r="Z10" i="12" s="1"/>
  <c r="W55" i="4"/>
  <c r="AA10" i="12" s="1"/>
  <c r="X55" i="4"/>
  <c r="AB10" i="12" s="1"/>
  <c r="Y55" i="4"/>
  <c r="AC10" i="12" s="1"/>
  <c r="Z55" i="4"/>
  <c r="AD10" i="12" s="1"/>
  <c r="AA55" i="4"/>
  <c r="AE10" i="12" s="1"/>
  <c r="AB55" i="4"/>
  <c r="AF10" i="12" s="1"/>
  <c r="AC55" i="4"/>
  <c r="AG10" i="12" s="1"/>
  <c r="AD55" i="4"/>
  <c r="AE55" i="4"/>
  <c r="AF55" i="4"/>
  <c r="B29" i="11" s="1"/>
  <c r="AG55" i="4"/>
  <c r="C29" i="11" s="1"/>
  <c r="AH55" i="4"/>
  <c r="D29" i="11" s="1"/>
  <c r="D56" i="4"/>
  <c r="H11" i="12" s="1"/>
  <c r="E56" i="4"/>
  <c r="I11" i="12" s="1"/>
  <c r="F56" i="4"/>
  <c r="J11" i="12" s="1"/>
  <c r="G56" i="4"/>
  <c r="K11" i="12" s="1"/>
  <c r="H56" i="4"/>
  <c r="L11" i="12" s="1"/>
  <c r="I56" i="4"/>
  <c r="M11" i="12" s="1"/>
  <c r="J56" i="4"/>
  <c r="N11" i="12" s="1"/>
  <c r="K56" i="4"/>
  <c r="O11" i="12" s="1"/>
  <c r="L56" i="4"/>
  <c r="P11" i="12" s="1"/>
  <c r="M56" i="4"/>
  <c r="Q11" i="12" s="1"/>
  <c r="N56" i="4"/>
  <c r="R11" i="12" s="1"/>
  <c r="O56" i="4"/>
  <c r="S11" i="12" s="1"/>
  <c r="P56" i="4"/>
  <c r="T11" i="12" s="1"/>
  <c r="Q56" i="4"/>
  <c r="U11" i="12" s="1"/>
  <c r="V56" i="4"/>
  <c r="Z11" i="12" s="1"/>
  <c r="W56" i="4"/>
  <c r="AA11" i="12" s="1"/>
  <c r="X56" i="4"/>
  <c r="AB11" i="12" s="1"/>
  <c r="Y56" i="4"/>
  <c r="AC11" i="12" s="1"/>
  <c r="Z56" i="4"/>
  <c r="AD11" i="12" s="1"/>
  <c r="AA56" i="4"/>
  <c r="AE11" i="12" s="1"/>
  <c r="AB56" i="4"/>
  <c r="AF11" i="12" s="1"/>
  <c r="AC56" i="4"/>
  <c r="AG11" i="12" s="1"/>
  <c r="AD56" i="4"/>
  <c r="AE56" i="4"/>
  <c r="AF56" i="4"/>
  <c r="B30" i="11" s="1"/>
  <c r="AG56" i="4"/>
  <c r="C30" i="11" s="1"/>
  <c r="AH56" i="4"/>
  <c r="D30" i="11" s="1"/>
  <c r="D57" i="4"/>
  <c r="H12" i="12" s="1"/>
  <c r="E57" i="4"/>
  <c r="I12" i="12" s="1"/>
  <c r="F57" i="4"/>
  <c r="J12" i="12" s="1"/>
  <c r="G57" i="4"/>
  <c r="K12" i="12" s="1"/>
  <c r="H57" i="4"/>
  <c r="L12" i="12" s="1"/>
  <c r="I57" i="4"/>
  <c r="M12" i="12" s="1"/>
  <c r="J57" i="4"/>
  <c r="N12" i="12" s="1"/>
  <c r="K57" i="4"/>
  <c r="O12" i="12" s="1"/>
  <c r="L57" i="4"/>
  <c r="P12" i="12" s="1"/>
  <c r="M57" i="4"/>
  <c r="Q12" i="12" s="1"/>
  <c r="N57" i="4"/>
  <c r="R12" i="12" s="1"/>
  <c r="O57" i="4"/>
  <c r="S12" i="12" s="1"/>
  <c r="P57" i="4"/>
  <c r="T12" i="12" s="1"/>
  <c r="Q57" i="4"/>
  <c r="U12" i="12" s="1"/>
  <c r="V57" i="4"/>
  <c r="Z12" i="12" s="1"/>
  <c r="W57" i="4"/>
  <c r="AA12" i="12" s="1"/>
  <c r="X57" i="4"/>
  <c r="AB12" i="12" s="1"/>
  <c r="Y57" i="4"/>
  <c r="AC12" i="12" s="1"/>
  <c r="Z57" i="4"/>
  <c r="AD12" i="12" s="1"/>
  <c r="AA57" i="4"/>
  <c r="AE12" i="12" s="1"/>
  <c r="AB57" i="4"/>
  <c r="AF12" i="12" s="1"/>
  <c r="AC57" i="4"/>
  <c r="AG12" i="12" s="1"/>
  <c r="AD57" i="4"/>
  <c r="AE57" i="4"/>
  <c r="AF57" i="4"/>
  <c r="B31" i="11" s="1"/>
  <c r="AG57" i="4"/>
  <c r="C31" i="11" s="1"/>
  <c r="AH57" i="4"/>
  <c r="D31" i="11" s="1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Z13" i="12"/>
  <c r="AA13" i="12"/>
  <c r="AB13" i="12"/>
  <c r="AC13" i="12"/>
  <c r="AD13" i="12"/>
  <c r="AE13" i="12"/>
  <c r="AF13" i="12"/>
  <c r="AG13" i="12"/>
  <c r="B32" i="11"/>
  <c r="C32" i="11"/>
  <c r="D32" i="11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Z14" i="12"/>
  <c r="AA14" i="12"/>
  <c r="AB14" i="12"/>
  <c r="AC14" i="12"/>
  <c r="AD14" i="12"/>
  <c r="AE14" i="12"/>
  <c r="AF14" i="12"/>
  <c r="AG14" i="12"/>
  <c r="AF59" i="4"/>
  <c r="B33" i="11" s="1"/>
  <c r="AG59" i="4"/>
  <c r="C33" i="11" s="1"/>
  <c r="AH59" i="4"/>
  <c r="D33" i="11" s="1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Z15" i="12"/>
  <c r="AA15" i="12"/>
  <c r="AB15" i="12"/>
  <c r="AC15" i="12"/>
  <c r="AD15" i="12"/>
  <c r="AE15" i="12"/>
  <c r="AF15" i="12"/>
  <c r="AG15" i="12"/>
  <c r="AF60" i="4"/>
  <c r="B34" i="11" s="1"/>
  <c r="AG60" i="4"/>
  <c r="C34" i="11" s="1"/>
  <c r="AH60" i="4"/>
  <c r="D34" i="11" s="1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Z16" i="12"/>
  <c r="AA16" i="12"/>
  <c r="AB16" i="12"/>
  <c r="AC16" i="12"/>
  <c r="AD16" i="12"/>
  <c r="AE16" i="12"/>
  <c r="AF16" i="12"/>
  <c r="AG16" i="12"/>
  <c r="AF61" i="4"/>
  <c r="B35" i="11" s="1"/>
  <c r="AG61" i="4"/>
  <c r="C35" i="11" s="1"/>
  <c r="AH61" i="4"/>
  <c r="D35" i="11" s="1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Z17" i="12"/>
  <c r="AA17" i="12"/>
  <c r="AB17" i="12"/>
  <c r="AC17" i="12"/>
  <c r="AD17" i="12"/>
  <c r="AE17" i="12"/>
  <c r="AF17" i="12"/>
  <c r="AG17" i="12"/>
  <c r="AF62" i="4"/>
  <c r="B36" i="11" s="1"/>
  <c r="AG62" i="4"/>
  <c r="C36" i="11" s="1"/>
  <c r="AH62" i="4"/>
  <c r="D36" i="11" s="1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Z18" i="12"/>
  <c r="AA18" i="12"/>
  <c r="AB18" i="12"/>
  <c r="AC18" i="12"/>
  <c r="AD18" i="12"/>
  <c r="AE18" i="12"/>
  <c r="AF18" i="12"/>
  <c r="AG18" i="12"/>
  <c r="AF63" i="4"/>
  <c r="B37" i="11" s="1"/>
  <c r="AG63" i="4"/>
  <c r="C37" i="11" s="1"/>
  <c r="AH63" i="4"/>
  <c r="D37" i="11" s="1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Z19" i="12"/>
  <c r="AA19" i="12"/>
  <c r="AB19" i="12"/>
  <c r="AC19" i="12"/>
  <c r="AD19" i="12"/>
  <c r="AE19" i="12"/>
  <c r="AF19" i="12"/>
  <c r="AG19" i="12"/>
  <c r="AF64" i="4"/>
  <c r="B38" i="11" s="1"/>
  <c r="AG64" i="4"/>
  <c r="C38" i="11" s="1"/>
  <c r="AH64" i="4"/>
  <c r="D38" i="11" s="1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Z20" i="12"/>
  <c r="AA20" i="12"/>
  <c r="AB20" i="12"/>
  <c r="AC20" i="12"/>
  <c r="AD20" i="12"/>
  <c r="AE20" i="12"/>
  <c r="AF20" i="12"/>
  <c r="AG20" i="12"/>
  <c r="AF65" i="4"/>
  <c r="B39" i="11" s="1"/>
  <c r="AG65" i="4"/>
  <c r="C39" i="11" s="1"/>
  <c r="AH65" i="4"/>
  <c r="D39" i="11" s="1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Z21" i="12"/>
  <c r="AA21" i="12"/>
  <c r="AB21" i="12"/>
  <c r="AC21" i="12"/>
  <c r="AD21" i="12"/>
  <c r="AE21" i="12"/>
  <c r="AF21" i="12"/>
  <c r="AG21" i="12"/>
  <c r="AF66" i="4"/>
  <c r="B40" i="11" s="1"/>
  <c r="AG66" i="4"/>
  <c r="C40" i="11" s="1"/>
  <c r="AH66" i="4"/>
  <c r="D40" i="11" s="1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Z22" i="12"/>
  <c r="AA22" i="12"/>
  <c r="AB22" i="12"/>
  <c r="AC22" i="12"/>
  <c r="AD22" i="12"/>
  <c r="AE22" i="12"/>
  <c r="AF22" i="12"/>
  <c r="AG22" i="12"/>
  <c r="AF67" i="4"/>
  <c r="B41" i="11" s="1"/>
  <c r="AG67" i="4"/>
  <c r="C41" i="11" s="1"/>
  <c r="AH67" i="4"/>
  <c r="D41" i="11" s="1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Z23" i="12"/>
  <c r="AA23" i="12"/>
  <c r="AB23" i="12"/>
  <c r="AC23" i="12"/>
  <c r="AD23" i="12"/>
  <c r="AE23" i="12"/>
  <c r="AF23" i="12"/>
  <c r="AG23" i="12"/>
  <c r="AF68" i="4"/>
  <c r="B42" i="11" s="1"/>
  <c r="AG68" i="4"/>
  <c r="C42" i="11" s="1"/>
  <c r="AH68" i="4"/>
  <c r="D42" i="11" s="1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Z24" i="12"/>
  <c r="AA24" i="12"/>
  <c r="AB24" i="12"/>
  <c r="AC24" i="12"/>
  <c r="AD24" i="12"/>
  <c r="AE24" i="12"/>
  <c r="AF24" i="12"/>
  <c r="AG24" i="12"/>
  <c r="AF69" i="4"/>
  <c r="B43" i="11" s="1"/>
  <c r="AG69" i="4"/>
  <c r="C43" i="11" s="1"/>
  <c r="AH69" i="4"/>
  <c r="D43" i="11" s="1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Z25" i="12"/>
  <c r="AA25" i="12"/>
  <c r="AB25" i="12"/>
  <c r="AC25" i="12"/>
  <c r="AD25" i="12"/>
  <c r="AE25" i="12"/>
  <c r="AF25" i="12"/>
  <c r="AG25" i="12"/>
  <c r="AF70" i="4"/>
  <c r="B44" i="11" s="1"/>
  <c r="AG70" i="4"/>
  <c r="C44" i="11" s="1"/>
  <c r="AH70" i="4"/>
  <c r="D44" i="11" s="1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Z26" i="12"/>
  <c r="AA26" i="12"/>
  <c r="AB26" i="12"/>
  <c r="AC26" i="12"/>
  <c r="AD26" i="12"/>
  <c r="AE26" i="12"/>
  <c r="AF26" i="12"/>
  <c r="AG26" i="12"/>
  <c r="AF71" i="4"/>
  <c r="B45" i="11" s="1"/>
  <c r="AG71" i="4"/>
  <c r="C45" i="11" s="1"/>
  <c r="AH71" i="4"/>
  <c r="D45" i="11" s="1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Z27" i="12"/>
  <c r="AA27" i="12"/>
  <c r="AB27" i="12"/>
  <c r="AC27" i="12"/>
  <c r="AD27" i="12"/>
  <c r="AE27" i="12"/>
  <c r="AF27" i="12"/>
  <c r="AG27" i="12"/>
  <c r="AF72" i="4"/>
  <c r="B46" i="11" s="1"/>
  <c r="AG72" i="4"/>
  <c r="C46" i="11" s="1"/>
  <c r="AH72" i="4"/>
  <c r="D46" i="11" s="1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Z28" i="12"/>
  <c r="AA28" i="12"/>
  <c r="AB28" i="12"/>
  <c r="AC28" i="12"/>
  <c r="AD28" i="12"/>
  <c r="AE28" i="12"/>
  <c r="AF28" i="12"/>
  <c r="AG28" i="12"/>
  <c r="AF73" i="4"/>
  <c r="B47" i="11" s="1"/>
  <c r="AG73" i="4"/>
  <c r="C47" i="11" s="1"/>
  <c r="AH73" i="4"/>
  <c r="D47" i="11" s="1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Z29" i="12"/>
  <c r="AA29" i="12"/>
  <c r="AB29" i="12"/>
  <c r="AC29" i="12"/>
  <c r="AD29" i="12"/>
  <c r="AE29" i="12"/>
  <c r="AF29" i="12"/>
  <c r="AG29" i="12"/>
  <c r="AF74" i="4"/>
  <c r="B48" i="11" s="1"/>
  <c r="AG74" i="4"/>
  <c r="C48" i="11" s="1"/>
  <c r="AH74" i="4"/>
  <c r="D48" i="11" s="1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Z30" i="12"/>
  <c r="AA30" i="12"/>
  <c r="AB30" i="12"/>
  <c r="AC30" i="12"/>
  <c r="AD30" i="12"/>
  <c r="AE30" i="12"/>
  <c r="AF30" i="12"/>
  <c r="AG30" i="12"/>
  <c r="AF75" i="4"/>
  <c r="B49" i="11" s="1"/>
  <c r="AG75" i="4"/>
  <c r="C49" i="11" s="1"/>
  <c r="AH75" i="4"/>
  <c r="D49" i="11" s="1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Z31" i="12"/>
  <c r="AA31" i="12"/>
  <c r="AB31" i="12"/>
  <c r="AC31" i="12"/>
  <c r="AD31" i="12"/>
  <c r="AE31" i="12"/>
  <c r="AF31" i="12"/>
  <c r="AG31" i="12"/>
  <c r="AF76" i="4"/>
  <c r="B50" i="11" s="1"/>
  <c r="AG76" i="4"/>
  <c r="C50" i="11" s="1"/>
  <c r="AH76" i="4"/>
  <c r="D50" i="11" s="1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Z32" i="12"/>
  <c r="AA32" i="12"/>
  <c r="AB32" i="12"/>
  <c r="AC32" i="12"/>
  <c r="AD32" i="12"/>
  <c r="AE32" i="12"/>
  <c r="AF32" i="12"/>
  <c r="AG32" i="12"/>
  <c r="AF77" i="4"/>
  <c r="B51" i="11" s="1"/>
  <c r="AG77" i="4"/>
  <c r="C51" i="11" s="1"/>
  <c r="AH77" i="4"/>
  <c r="D51" i="11" s="1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Z33" i="12"/>
  <c r="AA33" i="12"/>
  <c r="AB33" i="12"/>
  <c r="AC33" i="12"/>
  <c r="AD33" i="12"/>
  <c r="AE33" i="12"/>
  <c r="AF33" i="12"/>
  <c r="AG33" i="12"/>
  <c r="AF78" i="4"/>
  <c r="B52" i="11" s="1"/>
  <c r="AG78" i="4"/>
  <c r="C52" i="11" s="1"/>
  <c r="AH78" i="4"/>
  <c r="D52" i="11" s="1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Z34" i="12"/>
  <c r="AA34" i="12"/>
  <c r="AB34" i="12"/>
  <c r="AC34" i="12"/>
  <c r="AD34" i="12"/>
  <c r="AE34" i="12"/>
  <c r="AF34" i="12"/>
  <c r="AG34" i="12"/>
  <c r="AF79" i="4"/>
  <c r="B53" i="11" s="1"/>
  <c r="AG79" i="4"/>
  <c r="C53" i="11" s="1"/>
  <c r="AH79" i="4"/>
  <c r="D53" i="11" s="1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Z35" i="12"/>
  <c r="AA35" i="12"/>
  <c r="AB35" i="12"/>
  <c r="AC35" i="12"/>
  <c r="AD35" i="12"/>
  <c r="AE35" i="12"/>
  <c r="AF35" i="12"/>
  <c r="AG35" i="12"/>
  <c r="AF80" i="4"/>
  <c r="B54" i="11" s="1"/>
  <c r="AG80" i="4"/>
  <c r="C54" i="11" s="1"/>
  <c r="AH80" i="4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Z36" i="12"/>
  <c r="AA36" i="12"/>
  <c r="AB36" i="12"/>
  <c r="AC36" i="12"/>
  <c r="AD36" i="12"/>
  <c r="AE36" i="12"/>
  <c r="AF36" i="12"/>
  <c r="AG36" i="12"/>
  <c r="AF81" i="4"/>
  <c r="B55" i="11" s="1"/>
  <c r="AG81" i="4"/>
  <c r="C55" i="11" s="1"/>
  <c r="AH81" i="4"/>
  <c r="D55" i="11" s="1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Z37" i="12"/>
  <c r="AA37" i="12"/>
  <c r="AB37" i="12"/>
  <c r="AC37" i="12"/>
  <c r="AD37" i="12"/>
  <c r="AE37" i="12"/>
  <c r="AF37" i="12"/>
  <c r="AG37" i="12"/>
  <c r="AF82" i="4"/>
  <c r="B56" i="11" s="1"/>
  <c r="AG82" i="4"/>
  <c r="C56" i="11" s="1"/>
  <c r="AH82" i="4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Z38" i="12"/>
  <c r="AA38" i="12"/>
  <c r="AB38" i="12"/>
  <c r="AC38" i="12"/>
  <c r="AD38" i="12"/>
  <c r="AE38" i="12"/>
  <c r="AF38" i="12"/>
  <c r="AG38" i="12"/>
  <c r="AF83" i="4"/>
  <c r="B57" i="11" s="1"/>
  <c r="AG83" i="4"/>
  <c r="C57" i="11" s="1"/>
  <c r="AH83" i="4"/>
  <c r="D57" i="11" s="1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Z39" i="12"/>
  <c r="AA39" i="12"/>
  <c r="AB39" i="12"/>
  <c r="AC39" i="12"/>
  <c r="AD39" i="12"/>
  <c r="AE39" i="12"/>
  <c r="AF39" i="12"/>
  <c r="AG39" i="12"/>
  <c r="AF84" i="4"/>
  <c r="B58" i="11" s="1"/>
  <c r="AG84" i="4"/>
  <c r="C58" i="11" s="1"/>
  <c r="AH84" i="4"/>
  <c r="D58" i="11" s="1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Z40" i="12"/>
  <c r="AA40" i="12"/>
  <c r="AB40" i="12"/>
  <c r="AC40" i="12"/>
  <c r="AD40" i="12"/>
  <c r="AE40" i="12"/>
  <c r="AF40" i="12"/>
  <c r="AG40" i="12"/>
  <c r="AF85" i="4"/>
  <c r="B59" i="11" s="1"/>
  <c r="AG85" i="4"/>
  <c r="C59" i="11" s="1"/>
  <c r="AH85" i="4"/>
  <c r="D59" i="11" s="1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Z41" i="12"/>
  <c r="AA41" i="12"/>
  <c r="AB41" i="12"/>
  <c r="AC41" i="12"/>
  <c r="AD41" i="12"/>
  <c r="AE41" i="12"/>
  <c r="AF41" i="12"/>
  <c r="AG41" i="12"/>
  <c r="AF86" i="4"/>
  <c r="AG86" i="4"/>
  <c r="AH86" i="4"/>
  <c r="C86" i="4"/>
  <c r="G41" i="12" s="1"/>
  <c r="C85" i="4"/>
  <c r="G40" i="12" s="1"/>
  <c r="C84" i="4"/>
  <c r="G39" i="12" s="1"/>
  <c r="C83" i="4"/>
  <c r="G38" i="12" s="1"/>
  <c r="C82" i="4"/>
  <c r="G37" i="12" s="1"/>
  <c r="C81" i="4"/>
  <c r="G36" i="12" s="1"/>
  <c r="C80" i="4"/>
  <c r="G35" i="12" s="1"/>
  <c r="C79" i="4"/>
  <c r="G34" i="12" s="1"/>
  <c r="C78" i="4"/>
  <c r="G33" i="12" s="1"/>
  <c r="C77" i="4"/>
  <c r="G32" i="12" s="1"/>
  <c r="C76" i="4"/>
  <c r="G31" i="12" s="1"/>
  <c r="C75" i="4"/>
  <c r="G30" i="12" s="1"/>
  <c r="C74" i="4"/>
  <c r="G29" i="12" s="1"/>
  <c r="C73" i="4"/>
  <c r="G28" i="12" s="1"/>
  <c r="C72" i="4"/>
  <c r="G27" i="12" s="1"/>
  <c r="C71" i="4"/>
  <c r="G26" i="12" s="1"/>
  <c r="C70" i="4"/>
  <c r="G25" i="12" s="1"/>
  <c r="C69" i="4"/>
  <c r="G24" i="12" s="1"/>
  <c r="C68" i="4"/>
  <c r="G23" i="12" s="1"/>
  <c r="C67" i="4"/>
  <c r="G22" i="12" s="1"/>
  <c r="C66" i="4"/>
  <c r="G21" i="12" s="1"/>
  <c r="C65" i="4"/>
  <c r="G20" i="12" s="1"/>
  <c r="C64" i="4"/>
  <c r="G19" i="12" s="1"/>
  <c r="C63" i="4"/>
  <c r="G18" i="12" s="1"/>
  <c r="C62" i="4"/>
  <c r="G17" i="12" s="1"/>
  <c r="C61" i="4"/>
  <c r="G16" i="12" s="1"/>
  <c r="C60" i="4"/>
  <c r="G15" i="12" s="1"/>
  <c r="C59" i="4"/>
  <c r="G14" i="12" s="1"/>
  <c r="C58" i="4"/>
  <c r="G13" i="12" s="1"/>
  <c r="C57" i="4"/>
  <c r="G12" i="12" s="1"/>
  <c r="C56" i="4"/>
  <c r="G11" i="12" s="1"/>
  <c r="C55" i="4"/>
  <c r="G10" i="12" s="1"/>
  <c r="C54" i="4"/>
  <c r="G9" i="12" s="1"/>
  <c r="C53" i="4"/>
  <c r="G8" i="12" s="1"/>
  <c r="C52" i="4"/>
  <c r="G7" i="12" s="1"/>
  <c r="G6" i="12"/>
  <c r="C50" i="4"/>
  <c r="G5" i="12" s="1"/>
  <c r="C49" i="4"/>
  <c r="G4" i="12" s="1"/>
  <c r="C48" i="4"/>
  <c r="G3" i="12" s="1"/>
  <c r="F41" i="12"/>
  <c r="E41" i="12"/>
  <c r="D41" i="12"/>
  <c r="C41" i="12"/>
  <c r="B41" i="12"/>
  <c r="F40" i="12"/>
  <c r="E40" i="12"/>
  <c r="D40" i="12"/>
  <c r="C40" i="12"/>
  <c r="B40" i="12"/>
  <c r="F39" i="12"/>
  <c r="E39" i="12"/>
  <c r="D39" i="12"/>
  <c r="C39" i="12"/>
  <c r="B39" i="12"/>
  <c r="F38" i="12"/>
  <c r="E38" i="12"/>
  <c r="D38" i="12"/>
  <c r="C38" i="12"/>
  <c r="B38" i="12"/>
  <c r="F37" i="12"/>
  <c r="E37" i="12"/>
  <c r="D37" i="12"/>
  <c r="C37" i="12"/>
  <c r="B37" i="12"/>
  <c r="F36" i="12"/>
  <c r="E36" i="12"/>
  <c r="D36" i="12"/>
  <c r="C36" i="12"/>
  <c r="B36" i="12"/>
  <c r="F35" i="12"/>
  <c r="E35" i="12"/>
  <c r="D35" i="12"/>
  <c r="C35" i="12"/>
  <c r="B35" i="12"/>
  <c r="F34" i="12"/>
  <c r="E34" i="12"/>
  <c r="D34" i="12"/>
  <c r="C34" i="12"/>
  <c r="B34" i="12"/>
  <c r="F33" i="12"/>
  <c r="E33" i="12"/>
  <c r="D33" i="12"/>
  <c r="C33" i="12"/>
  <c r="B33" i="12"/>
  <c r="F32" i="12"/>
  <c r="E32" i="12"/>
  <c r="D32" i="12"/>
  <c r="C32" i="12"/>
  <c r="B32" i="12"/>
  <c r="F31" i="12"/>
  <c r="E31" i="12"/>
  <c r="D31" i="12"/>
  <c r="C31" i="12"/>
  <c r="B31" i="12"/>
  <c r="F30" i="12"/>
  <c r="E30" i="12"/>
  <c r="D30" i="12"/>
  <c r="C30" i="12"/>
  <c r="B30" i="12"/>
  <c r="F29" i="12"/>
  <c r="E29" i="12"/>
  <c r="D29" i="12"/>
  <c r="C29" i="12"/>
  <c r="B29" i="12"/>
  <c r="F28" i="12"/>
  <c r="E28" i="12"/>
  <c r="D28" i="12"/>
  <c r="C28" i="12"/>
  <c r="B28" i="12"/>
  <c r="F27" i="12"/>
  <c r="E27" i="12"/>
  <c r="D27" i="12"/>
  <c r="C27" i="12"/>
  <c r="B27" i="12"/>
  <c r="F26" i="12"/>
  <c r="E26" i="12"/>
  <c r="D26" i="12"/>
  <c r="C26" i="12"/>
  <c r="B26" i="12"/>
  <c r="F25" i="12"/>
  <c r="E25" i="12"/>
  <c r="D25" i="12"/>
  <c r="C25" i="12"/>
  <c r="B25" i="12"/>
  <c r="F24" i="12"/>
  <c r="E24" i="12"/>
  <c r="D24" i="12"/>
  <c r="C24" i="12"/>
  <c r="B24" i="12"/>
  <c r="F23" i="12"/>
  <c r="E23" i="12"/>
  <c r="D23" i="12"/>
  <c r="C23" i="12"/>
  <c r="B23" i="12"/>
  <c r="F22" i="12"/>
  <c r="E22" i="12"/>
  <c r="D22" i="12"/>
  <c r="C22" i="12"/>
  <c r="B22" i="12"/>
  <c r="F21" i="12"/>
  <c r="E21" i="12"/>
  <c r="D21" i="12"/>
  <c r="C21" i="12"/>
  <c r="B21" i="12"/>
  <c r="F20" i="12"/>
  <c r="E20" i="12"/>
  <c r="D20" i="12"/>
  <c r="C20" i="12"/>
  <c r="B20" i="12"/>
  <c r="F19" i="12"/>
  <c r="E19" i="12"/>
  <c r="D19" i="12"/>
  <c r="C19" i="12"/>
  <c r="B19" i="12"/>
  <c r="F18" i="12"/>
  <c r="E18" i="12"/>
  <c r="D18" i="12"/>
  <c r="C18" i="12"/>
  <c r="B18" i="12"/>
  <c r="F17" i="12"/>
  <c r="E17" i="12"/>
  <c r="D17" i="12"/>
  <c r="C17" i="12"/>
  <c r="B17" i="12"/>
  <c r="F16" i="12"/>
  <c r="E16" i="12"/>
  <c r="D16" i="12"/>
  <c r="C16" i="12"/>
  <c r="B16" i="12"/>
  <c r="F15" i="12"/>
  <c r="E15" i="12"/>
  <c r="D15" i="12"/>
  <c r="C15" i="12"/>
  <c r="B15" i="12"/>
  <c r="F14" i="12"/>
  <c r="E14" i="12"/>
  <c r="D14" i="12"/>
  <c r="C14" i="12"/>
  <c r="B14" i="12"/>
  <c r="F13" i="12"/>
  <c r="E13" i="12"/>
  <c r="D13" i="12"/>
  <c r="C13" i="12"/>
  <c r="B13" i="12"/>
  <c r="F12" i="12"/>
  <c r="E12" i="12"/>
  <c r="D12" i="12"/>
  <c r="C12" i="12"/>
  <c r="B12" i="12"/>
  <c r="F11" i="12"/>
  <c r="E11" i="12"/>
  <c r="D11" i="12"/>
  <c r="C11" i="12"/>
  <c r="B11" i="12"/>
  <c r="F10" i="12"/>
  <c r="E10" i="12"/>
  <c r="D10" i="12"/>
  <c r="C10" i="12"/>
  <c r="B10" i="12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D56" i="11"/>
  <c r="D54" i="11"/>
  <c r="C47" i="4"/>
  <c r="AH44" i="4"/>
  <c r="D17" i="11" s="1"/>
  <c r="AG44" i="4"/>
  <c r="C17" i="11" s="1"/>
  <c r="AF44" i="4"/>
  <c r="AE44" i="4"/>
  <c r="E17" i="9" s="1"/>
  <c r="AD44" i="4"/>
  <c r="D17" i="9" s="1"/>
  <c r="AC44" i="4"/>
  <c r="C17" i="9" s="1"/>
  <c r="AB44" i="4"/>
  <c r="B17" i="9" s="1"/>
  <c r="AA44" i="4"/>
  <c r="G17" i="7" s="1"/>
  <c r="Z44" i="4"/>
  <c r="F17" i="7" s="1"/>
  <c r="Y44" i="4"/>
  <c r="E17" i="7" s="1"/>
  <c r="X44" i="4"/>
  <c r="D17" i="7" s="1"/>
  <c r="W44" i="4"/>
  <c r="C17" i="7" s="1"/>
  <c r="V44" i="4"/>
  <c r="U44" i="4"/>
  <c r="K17" i="6" s="1"/>
  <c r="T44" i="4"/>
  <c r="J17" i="6" s="1"/>
  <c r="S44" i="4"/>
  <c r="I17" i="6" s="1"/>
  <c r="R44" i="4"/>
  <c r="H17" i="6" s="1"/>
  <c r="Q44" i="4"/>
  <c r="G17" i="6" s="1"/>
  <c r="P44" i="4"/>
  <c r="F17" i="6" s="1"/>
  <c r="O44" i="4"/>
  <c r="E17" i="6" s="1"/>
  <c r="N44" i="4"/>
  <c r="D17" i="6" s="1"/>
  <c r="M44" i="4"/>
  <c r="C17" i="6" s="1"/>
  <c r="L44" i="4"/>
  <c r="L17" i="5" s="1"/>
  <c r="K44" i="4"/>
  <c r="K17" i="5" s="1"/>
  <c r="J44" i="4"/>
  <c r="J17" i="5" s="1"/>
  <c r="I44" i="4"/>
  <c r="I17" i="5" s="1"/>
  <c r="H44" i="4"/>
  <c r="H17" i="5" s="1"/>
  <c r="G44" i="4"/>
  <c r="G17" i="5" s="1"/>
  <c r="F44" i="4"/>
  <c r="F17" i="5" s="1"/>
  <c r="E44" i="4"/>
  <c r="E17" i="5" s="1"/>
  <c r="D44" i="4"/>
  <c r="D17" i="5" s="1"/>
  <c r="C44" i="4"/>
  <c r="C17" i="5" s="1"/>
  <c r="AH36" i="4"/>
  <c r="D16" i="11" s="1"/>
  <c r="AG36" i="4"/>
  <c r="C16" i="11" s="1"/>
  <c r="AF36" i="4"/>
  <c r="AE36" i="4"/>
  <c r="E16" i="9" s="1"/>
  <c r="AD36" i="4"/>
  <c r="D16" i="9" s="1"/>
  <c r="AC36" i="4"/>
  <c r="C16" i="9" s="1"/>
  <c r="AB36" i="4"/>
  <c r="B16" i="9" s="1"/>
  <c r="AA36" i="4"/>
  <c r="G16" i="7" s="1"/>
  <c r="Z36" i="4"/>
  <c r="F16" i="7" s="1"/>
  <c r="Y36" i="4"/>
  <c r="E16" i="7" s="1"/>
  <c r="X36" i="4"/>
  <c r="D16" i="7" s="1"/>
  <c r="W36" i="4"/>
  <c r="C16" i="7" s="1"/>
  <c r="V36" i="4"/>
  <c r="U36" i="4"/>
  <c r="K16" i="6" s="1"/>
  <c r="T36" i="4"/>
  <c r="J16" i="6" s="1"/>
  <c r="S36" i="4"/>
  <c r="I16" i="6" s="1"/>
  <c r="R36" i="4"/>
  <c r="H16" i="6" s="1"/>
  <c r="Q36" i="4"/>
  <c r="G16" i="6" s="1"/>
  <c r="P36" i="4"/>
  <c r="F16" i="6" s="1"/>
  <c r="O36" i="4"/>
  <c r="E16" i="6" s="1"/>
  <c r="N36" i="4"/>
  <c r="D16" i="6" s="1"/>
  <c r="M36" i="4"/>
  <c r="C16" i="6" s="1"/>
  <c r="L36" i="4"/>
  <c r="L16" i="5" s="1"/>
  <c r="K36" i="4"/>
  <c r="K16" i="5" s="1"/>
  <c r="J36" i="4"/>
  <c r="J16" i="5" s="1"/>
  <c r="I36" i="4"/>
  <c r="I16" i="5" s="1"/>
  <c r="H36" i="4"/>
  <c r="H16" i="5" s="1"/>
  <c r="G36" i="4"/>
  <c r="G16" i="5" s="1"/>
  <c r="F36" i="4"/>
  <c r="F16" i="5" s="1"/>
  <c r="E36" i="4"/>
  <c r="E16" i="5" s="1"/>
  <c r="D36" i="4"/>
  <c r="D16" i="5" s="1"/>
  <c r="C36" i="4"/>
  <c r="C16" i="5" s="1"/>
  <c r="AH28" i="4"/>
  <c r="D15" i="11" s="1"/>
  <c r="AG28" i="4"/>
  <c r="C15" i="11" s="1"/>
  <c r="AF28" i="4"/>
  <c r="AE28" i="4"/>
  <c r="E15" i="9" s="1"/>
  <c r="AD28" i="4"/>
  <c r="D15" i="9" s="1"/>
  <c r="AC28" i="4"/>
  <c r="C15" i="9" s="1"/>
  <c r="AB28" i="4"/>
  <c r="B15" i="9" s="1"/>
  <c r="AA28" i="4"/>
  <c r="G15" i="7" s="1"/>
  <c r="Z28" i="4"/>
  <c r="F15" i="7" s="1"/>
  <c r="Y28" i="4"/>
  <c r="E15" i="7" s="1"/>
  <c r="X28" i="4"/>
  <c r="D15" i="7" s="1"/>
  <c r="W28" i="4"/>
  <c r="C15" i="7" s="1"/>
  <c r="V28" i="4"/>
  <c r="U28" i="4"/>
  <c r="K15" i="6" s="1"/>
  <c r="T28" i="4"/>
  <c r="J15" i="6" s="1"/>
  <c r="S28" i="4"/>
  <c r="I15" i="6" s="1"/>
  <c r="R28" i="4"/>
  <c r="H15" i="6" s="1"/>
  <c r="Q28" i="4"/>
  <c r="G15" i="6" s="1"/>
  <c r="P28" i="4"/>
  <c r="F15" i="6" s="1"/>
  <c r="O28" i="4"/>
  <c r="E15" i="6" s="1"/>
  <c r="N28" i="4"/>
  <c r="D15" i="6" s="1"/>
  <c r="M28" i="4"/>
  <c r="C15" i="6" s="1"/>
  <c r="L28" i="4"/>
  <c r="L15" i="5" s="1"/>
  <c r="K28" i="4"/>
  <c r="K15" i="5" s="1"/>
  <c r="J28" i="4"/>
  <c r="J15" i="5" s="1"/>
  <c r="I28" i="4"/>
  <c r="I15" i="5" s="1"/>
  <c r="H28" i="4"/>
  <c r="H15" i="5" s="1"/>
  <c r="G28" i="4"/>
  <c r="G15" i="5" s="1"/>
  <c r="F28" i="4"/>
  <c r="F15" i="5" s="1"/>
  <c r="E28" i="4"/>
  <c r="E15" i="5" s="1"/>
  <c r="D28" i="4"/>
  <c r="D15" i="5" s="1"/>
  <c r="C28" i="4"/>
  <c r="C15" i="5" s="1"/>
  <c r="AH20" i="4"/>
  <c r="D14" i="11" s="1"/>
  <c r="AG20" i="4"/>
  <c r="C14" i="11" s="1"/>
  <c r="AF20" i="4"/>
  <c r="AE20" i="4"/>
  <c r="E14" i="9" s="1"/>
  <c r="AD20" i="4"/>
  <c r="D14" i="9" s="1"/>
  <c r="AC20" i="4"/>
  <c r="C14" i="9" s="1"/>
  <c r="AB20" i="4"/>
  <c r="B14" i="9" s="1"/>
  <c r="AA20" i="4"/>
  <c r="G14" i="7" s="1"/>
  <c r="Z20" i="4"/>
  <c r="F14" i="7" s="1"/>
  <c r="Y20" i="4"/>
  <c r="E14" i="7" s="1"/>
  <c r="X20" i="4"/>
  <c r="D14" i="7" s="1"/>
  <c r="W20" i="4"/>
  <c r="C14" i="7" s="1"/>
  <c r="V20" i="4"/>
  <c r="U20" i="4"/>
  <c r="K14" i="6" s="1"/>
  <c r="T20" i="4"/>
  <c r="J14" i="6" s="1"/>
  <c r="S20" i="4"/>
  <c r="I14" i="6" s="1"/>
  <c r="R20" i="4"/>
  <c r="H14" i="6" s="1"/>
  <c r="Q20" i="4"/>
  <c r="G14" i="6" s="1"/>
  <c r="P20" i="4"/>
  <c r="F14" i="6" s="1"/>
  <c r="O20" i="4"/>
  <c r="E14" i="6" s="1"/>
  <c r="N20" i="4"/>
  <c r="D14" i="6" s="1"/>
  <c r="M20" i="4"/>
  <c r="C14" i="6" s="1"/>
  <c r="L20" i="4"/>
  <c r="L14" i="5" s="1"/>
  <c r="K20" i="4"/>
  <c r="K14" i="5" s="1"/>
  <c r="J20" i="4"/>
  <c r="J14" i="5" s="1"/>
  <c r="I20" i="4"/>
  <c r="I14" i="5" s="1"/>
  <c r="H20" i="4"/>
  <c r="H14" i="5" s="1"/>
  <c r="G20" i="4"/>
  <c r="G14" i="5" s="1"/>
  <c r="F20" i="4"/>
  <c r="F14" i="5" s="1"/>
  <c r="E20" i="4"/>
  <c r="E14" i="5" s="1"/>
  <c r="D20" i="4"/>
  <c r="D14" i="5" s="1"/>
  <c r="C20" i="4"/>
  <c r="C14" i="5" s="1"/>
  <c r="AH12" i="4"/>
  <c r="D13" i="11" s="1"/>
  <c r="AG12" i="4"/>
  <c r="C13" i="11" s="1"/>
  <c r="AF12" i="4"/>
  <c r="AE12" i="4"/>
  <c r="E13" i="9" s="1"/>
  <c r="AD12" i="4"/>
  <c r="D13" i="9" s="1"/>
  <c r="AC12" i="4"/>
  <c r="C13" i="9" s="1"/>
  <c r="AB12" i="4"/>
  <c r="B13" i="9" s="1"/>
  <c r="AA12" i="4"/>
  <c r="G13" i="7" s="1"/>
  <c r="Z12" i="4"/>
  <c r="F13" i="7" s="1"/>
  <c r="V12" i="4"/>
  <c r="U12" i="4"/>
  <c r="K13" i="6" s="1"/>
  <c r="T12" i="4"/>
  <c r="J13" i="6" s="1"/>
  <c r="S12" i="4"/>
  <c r="I13" i="6" s="1"/>
  <c r="R12" i="4"/>
  <c r="H13" i="6" s="1"/>
  <c r="Q12" i="4"/>
  <c r="G13" i="6" s="1"/>
  <c r="P12" i="4"/>
  <c r="F13" i="6" s="1"/>
  <c r="O12" i="4"/>
  <c r="E13" i="6" s="1"/>
  <c r="N12" i="4"/>
  <c r="D13" i="6" s="1"/>
  <c r="M12" i="4"/>
  <c r="C13" i="6" s="1"/>
  <c r="L12" i="4"/>
  <c r="L13" i="5" s="1"/>
  <c r="K12" i="4"/>
  <c r="K13" i="5" s="1"/>
  <c r="J12" i="4"/>
  <c r="J13" i="5" s="1"/>
  <c r="I12" i="4"/>
  <c r="I13" i="5" s="1"/>
  <c r="H12" i="4"/>
  <c r="H13" i="5" s="1"/>
  <c r="G12" i="4"/>
  <c r="G13" i="5" s="1"/>
  <c r="F12" i="4"/>
  <c r="F13" i="5" s="1"/>
  <c r="E12" i="4"/>
  <c r="E13" i="5" s="1"/>
  <c r="D12" i="4"/>
  <c r="D13" i="5" s="1"/>
  <c r="C13" i="5"/>
  <c r="C64" i="11" l="1"/>
  <c r="C65" i="11"/>
  <c r="C63" i="11"/>
  <c r="C61" i="11"/>
  <c r="C62" i="11"/>
  <c r="D64" i="11"/>
  <c r="D65" i="11"/>
  <c r="D63" i="11"/>
  <c r="D61" i="11"/>
  <c r="D62" i="11"/>
  <c r="B65" i="11"/>
  <c r="B61" i="11"/>
  <c r="B63" i="11"/>
  <c r="B62" i="11"/>
  <c r="B64" i="11"/>
  <c r="G2" i="12"/>
  <c r="C87" i="4"/>
  <c r="C18" i="5" s="1"/>
  <c r="Z87" i="4"/>
  <c r="F18" i="7" s="1"/>
  <c r="C61" i="5"/>
  <c r="X12" i="4"/>
  <c r="D13" i="7" s="1"/>
  <c r="Y12" i="4"/>
  <c r="E13" i="7" s="1"/>
  <c r="W12" i="4"/>
  <c r="C13" i="7" s="1"/>
  <c r="D87" i="4"/>
  <c r="D18" i="5" s="1"/>
  <c r="L87" i="4"/>
  <c r="L18" i="5" s="1"/>
  <c r="T87" i="4"/>
  <c r="J18" i="6" s="1"/>
  <c r="AD87" i="4"/>
  <c r="D18" i="9" s="1"/>
  <c r="F87" i="4"/>
  <c r="F18" i="5" s="1"/>
  <c r="J87" i="4"/>
  <c r="J18" i="5" s="1"/>
  <c r="N87" i="4"/>
  <c r="D18" i="6" s="1"/>
  <c r="R87" i="4"/>
  <c r="H18" i="6" s="1"/>
  <c r="X87" i="4"/>
  <c r="D18" i="7" s="1"/>
  <c r="AB87" i="4"/>
  <c r="B18" i="9" s="1"/>
  <c r="AG87" i="4"/>
  <c r="C18" i="11" s="1"/>
  <c r="H87" i="4"/>
  <c r="H18" i="5" s="1"/>
  <c r="P87" i="4"/>
  <c r="F18" i="6" s="1"/>
  <c r="G87" i="4"/>
  <c r="G18" i="5" s="1"/>
  <c r="K87" i="4"/>
  <c r="K18" i="5" s="1"/>
  <c r="O87" i="4"/>
  <c r="E18" i="6" s="1"/>
  <c r="S87" i="4"/>
  <c r="I18" i="6" s="1"/>
  <c r="Y87" i="4"/>
  <c r="E18" i="7" s="1"/>
  <c r="AC87" i="4"/>
  <c r="C18" i="9" s="1"/>
  <c r="AH87" i="4"/>
  <c r="D18" i="11" s="1"/>
  <c r="V87" i="4"/>
  <c r="E87" i="4"/>
  <c r="E18" i="5" s="1"/>
  <c r="I87" i="4"/>
  <c r="I18" i="5" s="1"/>
  <c r="M87" i="4"/>
  <c r="C18" i="6" s="1"/>
  <c r="Q87" i="4"/>
  <c r="G18" i="6" s="1"/>
  <c r="U87" i="4"/>
  <c r="K18" i="6" s="1"/>
  <c r="W87" i="4"/>
  <c r="C18" i="7" s="1"/>
  <c r="AA87" i="4"/>
  <c r="G18" i="7" s="1"/>
  <c r="AE87" i="4"/>
  <c r="E18" i="9" s="1"/>
  <c r="AF87" i="4"/>
  <c r="C61" i="6" l="1"/>
  <c r="C6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300-000001000000}">
      <text>
        <r>
          <rPr>
            <sz val="11"/>
            <color theme="1"/>
            <rFont val="Arial"/>
            <family val="2"/>
          </rPr>
          <t>======
ID#AAAAPGR1yng
Anatole Marechal    (2021-09-13 09:18:44)
Attention, penser actualiser la formule de calcul des médianes pour chaque métrique et chaque groupe : la formule est prévue pour 5 acteurs par groupe</t>
        </r>
      </text>
    </comment>
    <comment ref="C47" authorId="0" shapeId="0" xr:uid="{00000000-0006-0000-0300-000002000000}">
      <text>
        <r>
          <rPr>
            <sz val="11"/>
            <color theme="1"/>
            <rFont val="Arial"/>
            <family val="2"/>
          </rPr>
          <t>======
ID#AAAAPGR1ynU
Anatole Marechal    (2021-09-13 09:18:44)
remplissage automatique à partir des scores du formulaire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HImInO+QAkgCOK4A/o0fqCJJM6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3" authorId="0" shapeId="0" xr:uid="{00000000-0006-0000-0400-000002000000}">
      <text>
        <r>
          <rPr>
            <sz val="11"/>
            <color theme="1"/>
            <rFont val="Arial"/>
            <family val="2"/>
          </rPr>
          <t>======
ID#AAAAPGR1ynY
Anatole Marechal    (2021-09-13 09:18:44)
Formule liée à la grille des métriques</t>
        </r>
      </text>
    </comment>
    <comment ref="C20" authorId="0" shapeId="0" xr:uid="{00000000-0006-0000-0400-000001000000}">
      <text>
        <r>
          <rPr>
            <sz val="11"/>
            <color theme="1"/>
            <rFont val="Arial"/>
            <family val="2"/>
          </rPr>
          <t>======
ID#AAAAPGR1ync
Anatole Marechal    (2021-09-13 09:18:44)
remplissage automatique à partir des scores du formulaire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pLEmS946Q2Lj+TmQJavkGFC8y5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0B6D7A89-D47B-4A5E-9594-0E9ECBED7342}">
      <text>
        <r>
          <rPr>
            <sz val="11"/>
            <color theme="1"/>
            <rFont val="Arial"/>
            <family val="2"/>
          </rPr>
          <t>======
ID#AAAAPGR1ync
Anatole Marechal    (2021-09-13 09:18:44)
remplissage automatique à partir des scores du formulaire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4B0F9B0C-D32C-487D-A9E4-06998ED5FEB1}">
      <text>
        <r>
          <rPr>
            <sz val="11"/>
            <color theme="1"/>
            <rFont val="Arial"/>
            <family val="2"/>
          </rPr>
          <t>======
ID#AAAAPGR1ync
Anatole Marechal    (2021-09-13 09:18:44)
remplissage automatique à partir des scores du formulaire</t>
        </r>
      </text>
    </comment>
  </commentList>
</comments>
</file>

<file path=xl/sharedStrings.xml><?xml version="1.0" encoding="utf-8"?>
<sst xmlns="http://schemas.openxmlformats.org/spreadsheetml/2006/main" count="1620" uniqueCount="553">
  <si>
    <t>Nom du contributeur</t>
  </si>
  <si>
    <t>Superficie (ha)</t>
  </si>
  <si>
    <t>Département(s)</t>
  </si>
  <si>
    <t>Date fin DAT</t>
  </si>
  <si>
    <t>Type de contrat et durée</t>
  </si>
  <si>
    <t>Profil  du site</t>
  </si>
  <si>
    <t>FR.MNHN.I056FR3600174</t>
  </si>
  <si>
    <t>MARECHAL Anatole</t>
  </si>
  <si>
    <t>Casse de la Belle Henriette</t>
  </si>
  <si>
    <t>CDI</t>
  </si>
  <si>
    <r>
      <t xml:space="preserve">Document mis à disposition sous un contrat Creative Commons CC BY-NC-ND (4.0) </t>
    </r>
    <r>
      <rPr>
        <u/>
        <sz val="11"/>
        <color rgb="FF1155CC"/>
        <rFont val="Arial"/>
        <family val="2"/>
      </rPr>
      <t>https://creativecommons.org/licenses/by-nc-nd/4.0/</t>
    </r>
  </si>
  <si>
    <t>Numéro d'anonymisation des acteurs</t>
  </si>
  <si>
    <t>Membres du CCG (groupe1)</t>
  </si>
  <si>
    <t>Partenaires, gestionnaires et techniciens (groupe2)</t>
  </si>
  <si>
    <t>Animation, découverte de l'environnement, tourisme (groupe3)</t>
  </si>
  <si>
    <t>Riverains, élus et usagers locaux (groupe4)</t>
  </si>
  <si>
    <t>Nom</t>
  </si>
  <si>
    <t>Prénom</t>
  </si>
  <si>
    <t>Statut</t>
  </si>
  <si>
    <t>Structure</t>
  </si>
  <si>
    <t>Age</t>
  </si>
  <si>
    <t>Contexte entretien</t>
  </si>
  <si>
    <t>Tel</t>
  </si>
  <si>
    <t>Mail</t>
  </si>
  <si>
    <t>Profil Cognitif</t>
  </si>
  <si>
    <t>Acteur1</t>
  </si>
  <si>
    <t>James</t>
  </si>
  <si>
    <t>Jessie</t>
  </si>
  <si>
    <t>Directrice</t>
  </si>
  <si>
    <t>Syndicat Mixte</t>
  </si>
  <si>
    <t>XX/XX/XX</t>
  </si>
  <si>
    <t>langue de bois</t>
  </si>
  <si>
    <t>00.00.00.00.00</t>
  </si>
  <si>
    <t>jessie.james@syndicat.com</t>
  </si>
  <si>
    <t>Territorial</t>
  </si>
  <si>
    <t>Acteur2</t>
  </si>
  <si>
    <t>Genty</t>
  </si>
  <si>
    <t>Bobby</t>
  </si>
  <si>
    <t>Agent municipal</t>
  </si>
  <si>
    <t>Commune Trifouilly les oies</t>
  </si>
  <si>
    <t>convivial</t>
  </si>
  <si>
    <t>bobby@trifouillylesoies.com</t>
  </si>
  <si>
    <t>Fédérateur</t>
  </si>
  <si>
    <t>…</t>
  </si>
  <si>
    <t>Document mis à disposition sous un contrat Creative Commons CC BY-NC-ND (4.0) https://creativecommons.org/licenses/by-nc-nd/4.0/</t>
  </si>
  <si>
    <t>CONNAISSANCE</t>
  </si>
  <si>
    <t>INTERET</t>
  </si>
  <si>
    <t>IMPLICATION</t>
  </si>
  <si>
    <t>métrique complémentaire : CCG</t>
  </si>
  <si>
    <t>N° de la métrique</t>
  </si>
  <si>
    <t>Titre de la métrique</t>
  </si>
  <si>
    <t>Finalité</t>
  </si>
  <si>
    <t>Actions</t>
  </si>
  <si>
    <t>Périmètre</t>
  </si>
  <si>
    <t>Contact</t>
  </si>
  <si>
    <t>Fréquence visites</t>
  </si>
  <si>
    <t>Animations avis</t>
  </si>
  <si>
    <t>Règlementation acceptée</t>
  </si>
  <si>
    <t>Importance</t>
  </si>
  <si>
    <t>Efficacité</t>
  </si>
  <si>
    <t>Gestion</t>
  </si>
  <si>
    <t>Gestionnaire</t>
  </si>
  <si>
    <t>Plus values territoire</t>
  </si>
  <si>
    <t>Plus values perso</t>
  </si>
  <si>
    <t>Nature des liens</t>
  </si>
  <si>
    <t>Participation animations</t>
  </si>
  <si>
    <t>Ecoute</t>
  </si>
  <si>
    <t>Echanges</t>
  </si>
  <si>
    <t>Evolution échanges</t>
  </si>
  <si>
    <t>Implication CCG</t>
  </si>
  <si>
    <t>Avis CCG</t>
  </si>
  <si>
    <t>Interventions CCG</t>
  </si>
  <si>
    <t>Participation CCG</t>
  </si>
  <si>
    <t>Impact CC</t>
  </si>
  <si>
    <t>Adaptation CC</t>
  </si>
  <si>
    <t>Avis CC</t>
  </si>
  <si>
    <t>Attentes</t>
  </si>
  <si>
    <t>Synthèse</t>
  </si>
  <si>
    <t>Enracinement</t>
  </si>
  <si>
    <t>Définition de la métrique</t>
  </si>
  <si>
    <t>Niveau de connaissance des missions d'une RN en général</t>
  </si>
  <si>
    <t>Niveau de connaissance des champs d'action de la RN</t>
  </si>
  <si>
    <t>Niveau de connaissance des animations proposées par la réserve</t>
  </si>
  <si>
    <t>Niveau de connaissance réel du périmètre du site</t>
  </si>
  <si>
    <t>Niveau de connaissance de la règlementation de la RN</t>
  </si>
  <si>
    <t xml:space="preserve">Evaluation du ressenti de la qualité des rapports humains avec l'équipe de la RN. </t>
  </si>
  <si>
    <t>Evaluation du sentiment d'implication</t>
  </si>
  <si>
    <t>Ressenti d'intérêt vis-à-vis de cette instance</t>
  </si>
  <si>
    <t>Evaluation de la fréquence d'interventions</t>
  </si>
  <si>
    <t>Evaluation de la fréquence de participation</t>
  </si>
  <si>
    <t>Question liée à la métrique dans la trame d'entretien</t>
  </si>
  <si>
    <t>Connaissez-vous des règles à respecter sur la réserve ?</t>
  </si>
  <si>
    <t>Vers qui vous tournez vous pour avoir des informations ?</t>
  </si>
  <si>
    <t>Avez-vous l'habitude de participer à des activités / événements / vernissages / animations / points d'observations… organisées par la RN ?</t>
  </si>
  <si>
    <t>Vous sentez-vous consulté par la RN sur les sujets qui vous concernent ?</t>
  </si>
  <si>
    <t xml:space="preserve">En tant que membre du CCG, avez-vous l'impression d'être impliqué dans la vie de la RN </t>
  </si>
  <si>
    <t>Que pensez-vous du CCG, en tant qu’instance de discussion ?</t>
  </si>
  <si>
    <t>Lors du CCG, faites-vous des interventions régulièrement (questions, prises de positions) </t>
  </si>
  <si>
    <t xml:space="preserve">Quelle est la fréquence de votre participation au CCG ? </t>
  </si>
  <si>
    <t>Avez-vous des attentes particulières par rapport à la RN ?</t>
  </si>
  <si>
    <t>Pour faire la synthèse de tous les points abordés précédemment, la RN apporte-t-elle dans l’ensemble plutôt des bénéfices ou des inconvénients sur ce territoire ?</t>
  </si>
  <si>
    <t>Selon vous, la réserve est-elle bien enracinée sur le territoire ? Pourquoi ?</t>
  </si>
  <si>
    <t>Réponse attendue à la métrique</t>
  </si>
  <si>
    <t xml:space="preserve">Protection // Gestion // Sensibilisation. </t>
  </si>
  <si>
    <t>Surveillance et Police //
 Suivis, études et inventaires, recherche // Gestion hab-esp, travaux d’entretien et d’équipement //
 Pédagogie, information, animation, édition // Suivi administratif et financier.</t>
  </si>
  <si>
    <t>Tracé du périmètre</t>
  </si>
  <si>
    <t>Echelle de ressenti</t>
  </si>
  <si>
    <t>sans indicateur</t>
  </si>
  <si>
    <t>Score 1</t>
  </si>
  <si>
    <t>Faux ou non réponse</t>
  </si>
  <si>
    <t>Non réponse</t>
  </si>
  <si>
    <t>Méconnaissance</t>
  </si>
  <si>
    <t>Non connue</t>
  </si>
  <si>
    <t>Faux ou Non connue</t>
  </si>
  <si>
    <t>FAUX ou non réponse</t>
  </si>
  <si>
    <t>Jamais</t>
  </si>
  <si>
    <t>Pas du tout d'accord</t>
  </si>
  <si>
    <t>Forte critique</t>
  </si>
  <si>
    <t>Plus-value nulle</t>
  </si>
  <si>
    <t>Contrainte très forte</t>
  </si>
  <si>
    <t>Aucun lien</t>
  </si>
  <si>
    <t>Liens contraints / subis = "RN nous impose un dialogue / une attitude"</t>
  </si>
  <si>
    <t>Pas du tout</t>
  </si>
  <si>
    <t>Evolution négative</t>
  </si>
  <si>
    <t>Non intérêt</t>
  </si>
  <si>
    <t>Seulement des inconvénients</t>
  </si>
  <si>
    <t>Score 2</t>
  </si>
  <si>
    <t>1 mission</t>
  </si>
  <si>
    <t>x</t>
  </si>
  <si>
    <t>Localisation peu assurée</t>
  </si>
  <si>
    <t>moins d'une fois par an</t>
  </si>
  <si>
    <t>Plutôt pas d'accord</t>
  </si>
  <si>
    <t>Quelques éléments critiquables</t>
  </si>
  <si>
    <t>Plus-value faible</t>
  </si>
  <si>
    <t>Plutôt forte</t>
  </si>
  <si>
    <t>&lt;1fois/an</t>
  </si>
  <si>
    <t>Plutôt non</t>
  </si>
  <si>
    <t>Criticable</t>
  </si>
  <si>
    <t>Rarement</t>
  </si>
  <si>
    <t>1x sur les 5 dernières années</t>
  </si>
  <si>
    <t>Plus d'inconvénients</t>
  </si>
  <si>
    <t>Score 3</t>
  </si>
  <si>
    <t>//si 2 bonnes réponses et 1 réponse fausse//</t>
  </si>
  <si>
    <t>moins de 50 %</t>
  </si>
  <si>
    <t>Incomplet</t>
  </si>
  <si>
    <t>Localisation globalement correcte</t>
  </si>
  <si>
    <t>Connaissance floue</t>
  </si>
  <si>
    <t>Des espèces mais pas celles attendues</t>
  </si>
  <si>
    <t>Connait la moitié des documents qui lui sont destinés</t>
  </si>
  <si>
    <t>Structure gestionnaire ou propriétaire</t>
  </si>
  <si>
    <t>1fois/an</t>
  </si>
  <si>
    <t>Neutralité</t>
  </si>
  <si>
    <t>Ne sait pas</t>
  </si>
  <si>
    <t>Mitigée : contrainte pas complètement acceptée</t>
  </si>
  <si>
    <t>Pas d'évolution</t>
  </si>
  <si>
    <t>Liens passifs / opportunistes = échanges ou liens lors de visites ou de contrats</t>
  </si>
  <si>
    <t>Mitigé</t>
  </si>
  <si>
    <t>Pas d'avis</t>
  </si>
  <si>
    <t>De temps en temps</t>
  </si>
  <si>
    <t>2x sur les 5 dernières années</t>
  </si>
  <si>
    <t>Equilibré ou ne sait pas</t>
  </si>
  <si>
    <t>Score 4</t>
  </si>
  <si>
    <t>2 missions claires</t>
  </si>
  <si>
    <t>Bon tracé, quelques approximations peu significatives</t>
  </si>
  <si>
    <t>1fois/trimestre</t>
  </si>
  <si>
    <t>Plutôt d'accord</t>
  </si>
  <si>
    <t>Soutien de principe</t>
  </si>
  <si>
    <t>Plus-value  moyenne</t>
  </si>
  <si>
    <t>Contrainte acceptée</t>
  </si>
  <si>
    <t>Plutôt oui</t>
  </si>
  <si>
    <t>Correct</t>
  </si>
  <si>
    <t>La plupart du temps</t>
  </si>
  <si>
    <t>3x sur les 5 dernières années</t>
  </si>
  <si>
    <t>Plus de bénéfices</t>
  </si>
  <si>
    <t>Score 5</t>
  </si>
  <si>
    <t>3 missions</t>
  </si>
  <si>
    <t>4 ou 5</t>
  </si>
  <si>
    <t>plus de 50%  des animations connues</t>
  </si>
  <si>
    <t>Exact</t>
  </si>
  <si>
    <t>Périmètre exact</t>
  </si>
  <si>
    <t>Principales règlementations connues (qui concernent l'acteur)</t>
  </si>
  <si>
    <t>Vrai (au moins 1 espèce emblematique)</t>
  </si>
  <si>
    <t>Connait tous les documents qui lui sont destinés</t>
  </si>
  <si>
    <t>Conservateur.trice ou membre équipe</t>
  </si>
  <si>
    <t>1fois/mois</t>
  </si>
  <si>
    <t>Tout à fait d'accord</t>
  </si>
  <si>
    <t>Fort soutien</t>
  </si>
  <si>
    <t>Plus-value forte</t>
  </si>
  <si>
    <t>Pas vécu comme une contrainte</t>
  </si>
  <si>
    <t>Evolution positive du ressenti</t>
  </si>
  <si>
    <t>Liens forts, guidés par le partage d'une vocation environnementale (recherché par l'acteur)</t>
  </si>
  <si>
    <t>Tout à fait</t>
  </si>
  <si>
    <t>Evolution positive</t>
  </si>
  <si>
    <t>Efficace et légitime</t>
  </si>
  <si>
    <t>Toujours</t>
  </si>
  <si>
    <t>4x ou &gt; sur les 5 dernières années</t>
  </si>
  <si>
    <t>Seulement des bénéfices</t>
  </si>
  <si>
    <t>Acteur1 (brut)</t>
  </si>
  <si>
    <t>Entretien d'un site pour favoriser l'habitat des espèces protégées</t>
  </si>
  <si>
    <t>Acteur1 (score)</t>
  </si>
  <si>
    <t>Acteur2 (brut)</t>
  </si>
  <si>
    <t>proteger les petits oiseaux</t>
  </si>
  <si>
    <t>Acteur2 (score)</t>
  </si>
  <si>
    <t>Acteur3 (brut)</t>
  </si>
  <si>
    <t>Acteur3 (score)</t>
  </si>
  <si>
    <t>Acteur4 (brut)</t>
  </si>
  <si>
    <t>Acteur4 (score)</t>
  </si>
  <si>
    <t>Acteur5 (brut)</t>
  </si>
  <si>
    <t>Acteur5 (score)</t>
  </si>
  <si>
    <t>Acteur6 (brut)</t>
  </si>
  <si>
    <t>Acteur6 (score)</t>
  </si>
  <si>
    <t>Acteur7 (brut)</t>
  </si>
  <si>
    <t>Acteur7 (score)</t>
  </si>
  <si>
    <t>Acteur8 (brut)</t>
  </si>
  <si>
    <t>Acteur8 (score)</t>
  </si>
  <si>
    <t>Acteur9 (brut)</t>
  </si>
  <si>
    <t>Acteur9 (score)</t>
  </si>
  <si>
    <t>Acteur10 (brut)</t>
  </si>
  <si>
    <t>Acteur10 (score)</t>
  </si>
  <si>
    <t>Acteur11 (brut)</t>
  </si>
  <si>
    <t>Acteur11 (score)</t>
  </si>
  <si>
    <t>Acteur12 (brut)</t>
  </si>
  <si>
    <t>Acteur12 (score)</t>
  </si>
  <si>
    <t>Acteur13 (brut)</t>
  </si>
  <si>
    <t>Acteur13 (score)</t>
  </si>
  <si>
    <t>Acteur14 (brut)</t>
  </si>
  <si>
    <t>Acteur14 (score)</t>
  </si>
  <si>
    <t>Acteur15 (brut)</t>
  </si>
  <si>
    <t>Acteur15 (score)</t>
  </si>
  <si>
    <t>Acteur16 (brut)</t>
  </si>
  <si>
    <t>Acteur16 (score)</t>
  </si>
  <si>
    <t>Acteur17 (brut)</t>
  </si>
  <si>
    <t>Acteur17 (score)</t>
  </si>
  <si>
    <t>Acteur18 (brut)</t>
  </si>
  <si>
    <t>Acteur18 (score)</t>
  </si>
  <si>
    <t>Acteur19 (brut)</t>
  </si>
  <si>
    <t>Acteur19 (score)</t>
  </si>
  <si>
    <t>Acteur20 (brut)</t>
  </si>
  <si>
    <t>Acteur20 (score)</t>
  </si>
  <si>
    <t>Acteur21 (brut)</t>
  </si>
  <si>
    <t>Acteur21 (score)</t>
  </si>
  <si>
    <t>Acteur22 (brut)</t>
  </si>
  <si>
    <t>Acteur22 (score)</t>
  </si>
  <si>
    <t>Acteur23 (brut)</t>
  </si>
  <si>
    <t>Acteur23 (score)</t>
  </si>
  <si>
    <t>Acteur24 (brut)</t>
  </si>
  <si>
    <t>Acteur24 (score)</t>
  </si>
  <si>
    <t>Acteur25 (brut)</t>
  </si>
  <si>
    <t>Acteur25 (score)</t>
  </si>
  <si>
    <t>Acteur26 (brut)</t>
  </si>
  <si>
    <t>Acteur26 (score)</t>
  </si>
  <si>
    <t>Acteur27 (brut)</t>
  </si>
  <si>
    <t>Acteur27 (score)</t>
  </si>
  <si>
    <t>Acteur28 (brut)</t>
  </si>
  <si>
    <t>Acteur28 (score)</t>
  </si>
  <si>
    <t>Acteur29 (brut)</t>
  </si>
  <si>
    <t>Acteur29 (score)</t>
  </si>
  <si>
    <t>Acteur30 (brut)</t>
  </si>
  <si>
    <t>Acteur30 (score)</t>
  </si>
  <si>
    <t>Acteur31 (brut)</t>
  </si>
  <si>
    <t>Acteur31 (score)</t>
  </si>
  <si>
    <t>Acteur32 (brut)</t>
  </si>
  <si>
    <t>Acteur32 (score)</t>
  </si>
  <si>
    <t>Acteur33 (brut)</t>
  </si>
  <si>
    <t>Acteur33 (score)</t>
  </si>
  <si>
    <t>Acteur34 (brut)</t>
  </si>
  <si>
    <t>Acteur34 (score)</t>
  </si>
  <si>
    <t>Acteur35 (brut)</t>
  </si>
  <si>
    <t>Acteur35 (score)</t>
  </si>
  <si>
    <t>Acteur36 (brut)</t>
  </si>
  <si>
    <t>Acteur36 (score)</t>
  </si>
  <si>
    <t>Acteur37 (brut)</t>
  </si>
  <si>
    <t>Acteur37 (score)</t>
  </si>
  <si>
    <t>Acteur38 (brut)</t>
  </si>
  <si>
    <t>Acteur38 (score)</t>
  </si>
  <si>
    <t>Acteur39 (brut)</t>
  </si>
  <si>
    <t>Acteur39 (score)</t>
  </si>
  <si>
    <t>Acteur40 (brut)</t>
  </si>
  <si>
    <t>Acteur40 (score)</t>
  </si>
  <si>
    <t xml:space="preserve">Groupe 1
Membres du CCG </t>
  </si>
  <si>
    <t>N°</t>
  </si>
  <si>
    <t>Indicateur</t>
  </si>
  <si>
    <t>ActeurX</t>
  </si>
  <si>
    <t>MEDIANE Groupe 1</t>
  </si>
  <si>
    <t xml:space="preserve">Groupe 2
Partenaires, gestionnaires et techniciens </t>
  </si>
  <si>
    <t>MEDIANE Groupe 2</t>
  </si>
  <si>
    <t>MEDIANE Groupe 3</t>
  </si>
  <si>
    <t xml:space="preserve">Groupe 4
Riverains, élus et usagers locaux </t>
  </si>
  <si>
    <t>MEDIANE Groupe 4</t>
  </si>
  <si>
    <t>MEDIANE Groupe 5</t>
  </si>
  <si>
    <t>Tous acteurs</t>
  </si>
  <si>
    <t>Acteur3</t>
  </si>
  <si>
    <t>Acteur4</t>
  </si>
  <si>
    <t>Acteur5</t>
  </si>
  <si>
    <t>Acteur6</t>
  </si>
  <si>
    <t>Acteur7</t>
  </si>
  <si>
    <t>Acteur8</t>
  </si>
  <si>
    <t>Acteur9</t>
  </si>
  <si>
    <t>Acteur10</t>
  </si>
  <si>
    <t>Acteur11</t>
  </si>
  <si>
    <t>Acteur12</t>
  </si>
  <si>
    <t>Acteur13</t>
  </si>
  <si>
    <t>Acteur14</t>
  </si>
  <si>
    <t>Acteur15</t>
  </si>
  <si>
    <t>Acteur16</t>
  </si>
  <si>
    <t>Acteur17</t>
  </si>
  <si>
    <t>Acteur18</t>
  </si>
  <si>
    <t>Acteur19</t>
  </si>
  <si>
    <t>Acteur20</t>
  </si>
  <si>
    <t>Acteur21</t>
  </si>
  <si>
    <t>Acteur22</t>
  </si>
  <si>
    <t>Acteur23</t>
  </si>
  <si>
    <t>Acteur24</t>
  </si>
  <si>
    <t>Acteur25</t>
  </si>
  <si>
    <t>Acteur26</t>
  </si>
  <si>
    <t>Acteur27</t>
  </si>
  <si>
    <t>Acteur28</t>
  </si>
  <si>
    <t>Acteur29</t>
  </si>
  <si>
    <t>Acteur30</t>
  </si>
  <si>
    <t>Acteur31</t>
  </si>
  <si>
    <t>Acteur32</t>
  </si>
  <si>
    <t>Acteur33</t>
  </si>
  <si>
    <t>Acteur34</t>
  </si>
  <si>
    <t>Acteur35</t>
  </si>
  <si>
    <t>Acteur36</t>
  </si>
  <si>
    <t>Acteur37</t>
  </si>
  <si>
    <t>Acteur38</t>
  </si>
  <si>
    <t>Acteur39</t>
  </si>
  <si>
    <t>Acteur40</t>
  </si>
  <si>
    <t>MEDIANE Tous acteurs</t>
  </si>
  <si>
    <t>Animations</t>
  </si>
  <si>
    <t>Règlementation</t>
  </si>
  <si>
    <t>Communication</t>
  </si>
  <si>
    <t>Informations</t>
  </si>
  <si>
    <t>Grad1</t>
  </si>
  <si>
    <t>Grad2</t>
  </si>
  <si>
    <t>Grad3</t>
  </si>
  <si>
    <t>Grad4</t>
  </si>
  <si>
    <t>Grad5</t>
  </si>
  <si>
    <t>Question</t>
  </si>
  <si>
    <t>Réponse attendue</t>
  </si>
  <si>
    <t>Analyse AFOM : occurrences de toutes les réponses (recoupements des mots clés par thématiques)</t>
  </si>
  <si>
    <t>Atouts</t>
  </si>
  <si>
    <t>Occurences</t>
  </si>
  <si>
    <t>Faiblesses</t>
  </si>
  <si>
    <t>passion</t>
  </si>
  <si>
    <t>communication</t>
  </si>
  <si>
    <t>dynamisme</t>
  </si>
  <si>
    <t>ecoute</t>
  </si>
  <si>
    <t>animations</t>
  </si>
  <si>
    <t>Opportunités</t>
  </si>
  <si>
    <t>Menaces</t>
  </si>
  <si>
    <t>patrenariat CommComm</t>
  </si>
  <si>
    <t>Montée des eaux</t>
  </si>
  <si>
    <t>Evaluation de la gouvernance - METRIQUES HORS DAT</t>
  </si>
  <si>
    <t>Spécifique aux membres du CCG</t>
  </si>
  <si>
    <t>analyse complémentaire</t>
  </si>
  <si>
    <t>Individu</t>
  </si>
  <si>
    <t>groupe1</t>
  </si>
  <si>
    <t>groupe2</t>
  </si>
  <si>
    <t>groupe3</t>
  </si>
  <si>
    <t>groupe4</t>
  </si>
  <si>
    <t>groupe5</t>
  </si>
  <si>
    <t>metrique1</t>
  </si>
  <si>
    <t>metrique2</t>
  </si>
  <si>
    <t>metrique3</t>
  </si>
  <si>
    <t>metrique4</t>
  </si>
  <si>
    <t>metrique5</t>
  </si>
  <si>
    <t>metrique6</t>
  </si>
  <si>
    <t>metrique7</t>
  </si>
  <si>
    <t>metrique8</t>
  </si>
  <si>
    <t>metrique9</t>
  </si>
  <si>
    <t>metrique10</t>
  </si>
  <si>
    <t>metrique11</t>
  </si>
  <si>
    <t>metrique12</t>
  </si>
  <si>
    <t>metrique13</t>
  </si>
  <si>
    <t>metrique14</t>
  </si>
  <si>
    <t>metrique15</t>
  </si>
  <si>
    <t>metrique16</t>
  </si>
  <si>
    <t>metrique17</t>
  </si>
  <si>
    <t>metrique18</t>
  </si>
  <si>
    <t>metrique19</t>
  </si>
  <si>
    <t>metrique20</t>
  </si>
  <si>
    <t>metrique21</t>
  </si>
  <si>
    <t>metrique22</t>
  </si>
  <si>
    <t>metrique23</t>
  </si>
  <si>
    <t>metrique24</t>
  </si>
  <si>
    <t>metrique25</t>
  </si>
  <si>
    <t>metrique26</t>
  </si>
  <si>
    <t>metrique27</t>
  </si>
  <si>
    <t>acteur1</t>
  </si>
  <si>
    <t>acteur2</t>
  </si>
  <si>
    <t>acteur3</t>
  </si>
  <si>
    <t>acteur4</t>
  </si>
  <si>
    <t>acteur5</t>
  </si>
  <si>
    <t>acteur6</t>
  </si>
  <si>
    <t>acteur7</t>
  </si>
  <si>
    <t>acteur8</t>
  </si>
  <si>
    <t>acteur9</t>
  </si>
  <si>
    <t>acteur10</t>
  </si>
  <si>
    <t>acteur11</t>
  </si>
  <si>
    <t>acteur12</t>
  </si>
  <si>
    <t>acteur13</t>
  </si>
  <si>
    <t>acteur14</t>
  </si>
  <si>
    <t>acteur15</t>
  </si>
  <si>
    <t>acteur16</t>
  </si>
  <si>
    <t>acteur17</t>
  </si>
  <si>
    <t>acteur18</t>
  </si>
  <si>
    <t>acteur19</t>
  </si>
  <si>
    <t>acteur20</t>
  </si>
  <si>
    <t>acteur21</t>
  </si>
  <si>
    <t>acteur22</t>
  </si>
  <si>
    <t>acteur23</t>
  </si>
  <si>
    <t>acteur24</t>
  </si>
  <si>
    <t>acteur25</t>
  </si>
  <si>
    <t>acteur26</t>
  </si>
  <si>
    <t>acteur27</t>
  </si>
  <si>
    <t>acteur28</t>
  </si>
  <si>
    <t>acteur29</t>
  </si>
  <si>
    <t>acteur30</t>
  </si>
  <si>
    <t>acteur31</t>
  </si>
  <si>
    <t>acteur32</t>
  </si>
  <si>
    <t>acteur33</t>
  </si>
  <si>
    <t>acteur34</t>
  </si>
  <si>
    <t>acteur35</t>
  </si>
  <si>
    <t>acteur36</t>
  </si>
  <si>
    <t>acteur37</t>
  </si>
  <si>
    <t>acteur38</t>
  </si>
  <si>
    <t>acteur39</t>
  </si>
  <si>
    <t>acteur40</t>
  </si>
  <si>
    <t>Avis sur les animations</t>
  </si>
  <si>
    <t xml:space="preserve">	Quel est votre avis sur les animations ?</t>
  </si>
  <si>
    <t>Aucun avis</t>
  </si>
  <si>
    <t>Avis critique</t>
  </si>
  <si>
    <t>Avis mitigé</t>
  </si>
  <si>
    <t>Avis positif</t>
  </si>
  <si>
    <t>Avis très enthousiaste</t>
  </si>
  <si>
    <t>Ne peut pas se positionner</t>
  </si>
  <si>
    <t xml:space="preserve">Est-ce que vous êtes d’accord avec l’existence de la réserve ici ? </t>
  </si>
  <si>
    <t>Pas du tout efficace</t>
  </si>
  <si>
    <t>Plutôt pas efficace</t>
  </si>
  <si>
    <t>Plutôt efficace</t>
  </si>
  <si>
    <t>Très efficace</t>
  </si>
  <si>
    <t xml:space="preserve">La réserve représente-elle une/des plus-values pour vous ? </t>
  </si>
  <si>
    <t xml:space="preserve">Avec le temps et globalement, est-ce que votre avis sur la réserve a évolué ? </t>
  </si>
  <si>
    <t>Evolution des avis</t>
  </si>
  <si>
    <t>Evolution négative des avis</t>
  </si>
  <si>
    <t>Liens faibles</t>
  </si>
  <si>
    <t>Liens moyens</t>
  </si>
  <si>
    <t>Liens forts</t>
  </si>
  <si>
    <t xml:space="preserve">La réserve représente-t-elle des contraintes pour vous ? </t>
  </si>
  <si>
    <t>Evaluation du sentiment de consultation sur des sujets qui concernant l'enquêté</t>
  </si>
  <si>
    <t>Qualité des échanges</t>
  </si>
  <si>
    <t>Ces échanges ont-ils évolués avec le temps ?</t>
  </si>
  <si>
    <t xml:space="preserve">Lagune ; Périurbain ; ornithologique ; </t>
  </si>
  <si>
    <r>
      <t xml:space="preserve">code INSPIRE </t>
    </r>
    <r>
      <rPr>
        <i/>
        <sz val="10"/>
        <color theme="1"/>
        <rFont val="Calibri"/>
        <family val="2"/>
      </rPr>
      <t>(https://inpn.mnhn.fr/accueil/index)</t>
    </r>
  </si>
  <si>
    <t>Nom du site</t>
  </si>
  <si>
    <t>Statut du site</t>
  </si>
  <si>
    <t>Réserve naturelle nationale</t>
  </si>
  <si>
    <t>Organisme(s) gestionnaire(s)</t>
  </si>
  <si>
    <t>LPO France ; OFB</t>
  </si>
  <si>
    <t>Date entretien</t>
  </si>
  <si>
    <t xml:space="preserve">Non </t>
  </si>
  <si>
    <t>Concrètement, savez-vous ce qui se fait sur cette réserve ?</t>
  </si>
  <si>
    <t>Connaissez-vous des animations proposées par la réserve et lesquelles ?</t>
  </si>
  <si>
    <t>Connaissez vous les organismes gestionnaires de la réserve ?</t>
  </si>
  <si>
    <t>Voulez-vous bien tracer le périmètre de la réserve sur une carte ?</t>
  </si>
  <si>
    <t>Parmi les documents suivants, lesquels connaissez-vous ?</t>
  </si>
  <si>
    <t>Les informations sur la RN sont elles accessibles ?</t>
  </si>
  <si>
    <t>A quelle fréquence venez-vous voir la réserve pour des raisons professionnelles ou de loisirs ?</t>
  </si>
  <si>
    <t>Peu accessible</t>
  </si>
  <si>
    <t>Facilement accessible</t>
  </si>
  <si>
    <t>Quel est votre avis sur l’organisme gestionnaire ?</t>
  </si>
  <si>
    <t>Pas d'évolution du ressenti</t>
  </si>
  <si>
    <t xml:space="preserve">Concernant l’équipe de gestion du site, comment se passent vos échanges ? </t>
  </si>
  <si>
    <t xml:space="preserve">Animations </t>
  </si>
  <si>
    <t xml:space="preserve">Règlementation </t>
  </si>
  <si>
    <t>Outils de communication présentés</t>
  </si>
  <si>
    <t>Interlocuteurs pour s'informer</t>
  </si>
  <si>
    <t>Accessibilité à l'infos</t>
  </si>
  <si>
    <t>Fréquence des visites</t>
  </si>
  <si>
    <t>Avis sur la Règlementation</t>
  </si>
  <si>
    <t>Avis sur l'existence</t>
  </si>
  <si>
    <t>Avis sur l'efficacité des actions</t>
  </si>
  <si>
    <t>Avis organisme(s) gestionnaire(s)</t>
  </si>
  <si>
    <t>Avis sur la plus-value de la réserve</t>
  </si>
  <si>
    <t>Avis sur les contraintes</t>
  </si>
  <si>
    <t>Importance des liens</t>
  </si>
  <si>
    <t>Impression d'être consulté</t>
  </si>
  <si>
    <t>Evolution des échanges</t>
  </si>
  <si>
    <t>Missions</t>
  </si>
  <si>
    <t>Nombre cité d'animation par rapport à la programmation du site</t>
  </si>
  <si>
    <t>Nom exact du/des organisme(s) gestionnaire(s) de la RN</t>
  </si>
  <si>
    <t xml:space="preserve">Niveau de connaissance du gestionnaire de la réserve </t>
  </si>
  <si>
    <t>Aide au remplissage des scores</t>
  </si>
  <si>
    <t>/</t>
  </si>
  <si>
    <t>Nombre de règles citées par rapport à la réglementation en place</t>
  </si>
  <si>
    <t>Nombre de documents connus par rapport à la documentation en place</t>
  </si>
  <si>
    <t xml:space="preserve">Niveau de connaissance des outils de communication présentés lors de l'entretien </t>
  </si>
  <si>
    <t>Nom(s) cité(s)</t>
  </si>
  <si>
    <t>L'enquêteur écoute et fait le lien entre le nom cité et le poste de la personne</t>
  </si>
  <si>
    <t>L'enquêteur écoute la réponse de l'acteur et détermine le gradient de notation</t>
  </si>
  <si>
    <t>Niveau de connaissance des interlocuteurs de la RN</t>
  </si>
  <si>
    <t>Niveau d'accessibilité des informations et actualités sur la RN</t>
  </si>
  <si>
    <t xml:space="preserve">Niveau d'accessibilité </t>
  </si>
  <si>
    <t xml:space="preserve"> Fréquentation du site par les acteurs locaux</t>
  </si>
  <si>
    <t>Niveau de fréquence</t>
  </si>
  <si>
    <t xml:space="preserve">Evaluation de l'avis sur les animations </t>
  </si>
  <si>
    <t>Expression d'un avis</t>
  </si>
  <si>
    <t>Evaluation de l'avis sur la règlementation</t>
  </si>
  <si>
    <t>Evaluation de l'avis sur l'existence de la réserve</t>
  </si>
  <si>
    <t>Evaluation de l'avis sur l'efficacité des actions</t>
  </si>
  <si>
    <t>Evaluation de l'avis sur l'organisme gestionnaire</t>
  </si>
  <si>
    <t>Evaluation de la plus-value de la réserve</t>
  </si>
  <si>
    <t>Evaluation des contraintes induites par la RN</t>
  </si>
  <si>
    <t>Evaluation de l'évolutiondes avis à l'égard de la RN</t>
  </si>
  <si>
    <t>Evaluation de l'importance des liens</t>
  </si>
  <si>
    <t>Evaluation de la participation aux animations</t>
  </si>
  <si>
    <t>Taux de fréquence aux animations</t>
  </si>
  <si>
    <t>Evaluation de l'évolution des échanges avec l'équipe de la réserve</t>
  </si>
  <si>
    <t xml:space="preserve"> Evaluation de la nature des liens entre acteurs et RN</t>
  </si>
  <si>
    <t>Pouvez-vous qualifier globalement l’importance de ces liens ?</t>
  </si>
  <si>
    <t xml:space="preserve">Pouvez-vous citer tous les liens qui existent entre vous et la réserve ? Et pouvez-vous nous en dire plus leur nature ? </t>
  </si>
  <si>
    <t xml:space="preserve">Qualification des liens </t>
  </si>
  <si>
    <t xml:space="preserve"> Liens d'importance prioritaire</t>
  </si>
  <si>
    <t>Quel est votre avis sur la réglementation ?</t>
  </si>
  <si>
    <t>Pensez-vous que ces actions  soient globalement efficaces ?</t>
  </si>
  <si>
    <t>Selon-vous, quelles sont les missions d'une réserve naturelle, en général ?</t>
  </si>
  <si>
    <t>Conclusion</t>
  </si>
  <si>
    <t>Avis négatif</t>
  </si>
  <si>
    <t xml:space="preserve"> </t>
  </si>
  <si>
    <t>Tension</t>
  </si>
  <si>
    <t>Aucun échange / insuffisant</t>
  </si>
  <si>
    <t>Echanges bienveillants mais peu constructifs</t>
  </si>
  <si>
    <t xml:space="preserve">Echanges bienveillants et constructifs </t>
  </si>
  <si>
    <t>Ne connait presque aucun des documents qui lui sont destinés</t>
  </si>
  <si>
    <t>1fois/mois ou plus</t>
  </si>
  <si>
    <t>Niveau de connaissance des espèces représentatives de la RN</t>
  </si>
  <si>
    <t>Selon vous, quelles sont les especes représentatives de la réserve ?</t>
  </si>
  <si>
    <t>Espèces représentatives du site citées</t>
  </si>
  <si>
    <t>Vrai (au moins 1 espèce représentative)</t>
  </si>
  <si>
    <t>Espèce représentative</t>
  </si>
  <si>
    <t>Espèces représentatives</t>
  </si>
  <si>
    <t>Selon vous, quelles sont les espèces représentatives de la réserve ?</t>
  </si>
  <si>
    <t>Evaluation de l'évolution des avis à l'égard de la RN</t>
  </si>
  <si>
    <t>Evaluation du sentiment de consultation sur des sujets qui concernent l'enquêté</t>
  </si>
  <si>
    <t>Espèces</t>
  </si>
  <si>
    <t>Ces échanges ont-ils évolué avec le temps ?</t>
  </si>
  <si>
    <t>Echanges a minima</t>
  </si>
  <si>
    <t>Avis mitigé ou neutre</t>
  </si>
  <si>
    <t>Groupe 3
Animation, pédagogie, tourisme et sensibilisation</t>
  </si>
  <si>
    <t>Acteurs économiques (groupe 5)</t>
  </si>
  <si>
    <t>Groupe 5
Acteurs économiques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</si>
</sst>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3" x14ac:knownFonts="1">
    <font>
      <sz val="11"/>
      <color theme="1"/>
      <name val="Arial"/>
    </font>
    <font>
      <b/>
      <sz val="11"/>
      <color theme="1"/>
      <name val="Calibri"/>
      <family val="2"/>
    </font>
    <font>
      <i/>
      <sz val="11"/>
      <color rgb="FFFF0000"/>
      <name val="Calibri"/>
      <family val="2"/>
    </font>
    <font>
      <sz val="11"/>
      <color theme="1"/>
      <name val="Calibri"/>
      <family val="2"/>
    </font>
    <font>
      <i/>
      <sz val="9"/>
      <color rgb="FF00B0F0"/>
      <name val="Calibri"/>
      <family val="2"/>
    </font>
    <font>
      <u/>
      <sz val="11"/>
      <color rgb="FF0000FF"/>
      <name val="Arial"/>
      <family val="2"/>
    </font>
    <font>
      <sz val="11"/>
      <color rgb="FFFF0000"/>
      <name val="Calibri"/>
      <family val="2"/>
    </font>
    <font>
      <u/>
      <sz val="11"/>
      <color theme="10"/>
      <name val="Arial"/>
      <family val="2"/>
    </font>
    <font>
      <i/>
      <sz val="11"/>
      <color theme="1"/>
      <name val="Calibri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6"/>
      <color theme="0"/>
      <name val="Calibri"/>
      <family val="2"/>
    </font>
    <font>
      <sz val="8"/>
      <color theme="0"/>
      <name val="Calibri"/>
      <family val="2"/>
    </font>
    <font>
      <sz val="16"/>
      <color rgb="FFFF0000"/>
      <name val="Arial"/>
      <family val="2"/>
    </font>
    <font>
      <b/>
      <sz val="14"/>
      <color theme="1"/>
      <name val="Calibri"/>
      <family val="2"/>
    </font>
    <font>
      <u/>
      <sz val="11"/>
      <color rgb="FF1155CC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Calibri"/>
      <family val="2"/>
    </font>
    <font>
      <b/>
      <i/>
      <sz val="11"/>
      <color theme="1"/>
      <name val="Calibri"/>
      <family val="2"/>
    </font>
    <font>
      <i/>
      <sz val="10"/>
      <color theme="1"/>
      <name val="Calibri"/>
      <family val="2"/>
    </font>
    <font>
      <b/>
      <sz val="11"/>
      <name val="Calibri"/>
      <family val="2"/>
    </font>
    <font>
      <strike/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92D050"/>
        <bgColor rgb="FFD8D8D8"/>
      </patternFill>
    </fill>
  </fills>
  <borders count="3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1" fillId="0" borderId="0" xfId="0" applyFont="1"/>
    <xf numFmtId="0" fontId="3" fillId="4" borderId="4" xfId="0" applyFont="1" applyFill="1" applyBorder="1" applyAlignment="1">
      <alignment horizontal="left" vertical="top"/>
    </xf>
    <xf numFmtId="0" fontId="3" fillId="0" borderId="5" xfId="0" applyFont="1" applyBorder="1"/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8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11" borderId="9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1" fontId="3" fillId="0" borderId="9" xfId="0" applyNumberFormat="1" applyFont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2" borderId="3" xfId="0" applyFont="1" applyFill="1" applyBorder="1"/>
    <xf numFmtId="0" fontId="3" fillId="3" borderId="3" xfId="0" applyFont="1" applyFill="1" applyBorder="1"/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 wrapText="1"/>
    </xf>
    <xf numFmtId="0" fontId="16" fillId="6" borderId="3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left" vertical="top" wrapText="1"/>
    </xf>
    <xf numFmtId="0" fontId="16" fillId="8" borderId="3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left" vertical="top" wrapText="1"/>
    </xf>
    <xf numFmtId="0" fontId="1" fillId="9" borderId="3" xfId="0" applyFont="1" applyFill="1" applyBorder="1" applyAlignment="1">
      <alignment horizontal="left" vertical="top" wrapText="1"/>
    </xf>
    <xf numFmtId="0" fontId="16" fillId="9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 vertical="top"/>
    </xf>
    <xf numFmtId="0" fontId="3" fillId="9" borderId="3" xfId="0" applyFont="1" applyFill="1" applyBorder="1" applyAlignment="1">
      <alignment horizontal="left" vertical="top"/>
    </xf>
    <xf numFmtId="0" fontId="6" fillId="0" borderId="0" xfId="0" applyFont="1" applyAlignment="1">
      <alignment horizontal="left" wrapText="1"/>
    </xf>
    <xf numFmtId="0" fontId="1" fillId="4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9" borderId="10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6" fillId="0" borderId="10" xfId="0" applyFont="1" applyBorder="1"/>
    <xf numFmtId="0" fontId="3" fillId="0" borderId="10" xfId="0" applyFont="1" applyBorder="1"/>
    <xf numFmtId="0" fontId="3" fillId="3" borderId="10" xfId="0" applyFont="1" applyFill="1" applyBorder="1"/>
    <xf numFmtId="0" fontId="8" fillId="0" borderId="10" xfId="0" applyFont="1" applyBorder="1" applyAlignment="1">
      <alignment horizontal="left" vertical="top" wrapText="1"/>
    </xf>
    <xf numFmtId="0" fontId="1" fillId="7" borderId="12" xfId="0" applyFont="1" applyFill="1" applyBorder="1" applyAlignment="1">
      <alignment horizontal="left" vertical="top" wrapText="1"/>
    </xf>
    <xf numFmtId="0" fontId="3" fillId="0" borderId="12" xfId="0" applyFont="1" applyBorder="1" applyAlignment="1">
      <alignment horizontal="left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3" fillId="2" borderId="20" xfId="0" applyFont="1" applyFill="1" applyBorder="1"/>
    <xf numFmtId="0" fontId="1" fillId="4" borderId="17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left" vertical="top" wrapText="1"/>
    </xf>
    <xf numFmtId="0" fontId="6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0" xfId="0" applyFont="1" applyBorder="1"/>
    <xf numFmtId="0" fontId="6" fillId="0" borderId="20" xfId="0" applyFont="1" applyBorder="1"/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13" xfId="0" applyFont="1" applyBorder="1"/>
    <xf numFmtId="0" fontId="1" fillId="0" borderId="21" xfId="0" applyFont="1" applyBorder="1" applyAlignment="1">
      <alignment horizontal="left" vertical="top" wrapText="1"/>
    </xf>
    <xf numFmtId="0" fontId="3" fillId="6" borderId="19" xfId="0" applyFont="1" applyFill="1" applyBorder="1" applyAlignment="1">
      <alignment horizontal="left" vertical="top" wrapText="1"/>
    </xf>
    <xf numFmtId="0" fontId="3" fillId="6" borderId="18" xfId="0" applyFont="1" applyFill="1" applyBorder="1" applyAlignment="1">
      <alignment horizontal="left" vertical="top" wrapText="1"/>
    </xf>
    <xf numFmtId="0" fontId="3" fillId="5" borderId="19" xfId="0" applyFont="1" applyFill="1" applyBorder="1" applyAlignment="1">
      <alignment horizontal="left" vertical="top" wrapText="1"/>
    </xf>
    <xf numFmtId="0" fontId="3" fillId="5" borderId="18" xfId="0" applyFont="1" applyFill="1" applyBorder="1" applyAlignment="1">
      <alignment horizontal="left" vertical="top" wrapText="1"/>
    </xf>
    <xf numFmtId="0" fontId="3" fillId="8" borderId="19" xfId="0" applyFont="1" applyFill="1" applyBorder="1" applyAlignment="1">
      <alignment horizontal="left" vertical="top" wrapText="1"/>
    </xf>
    <xf numFmtId="0" fontId="3" fillId="8" borderId="18" xfId="0" applyFont="1" applyFill="1" applyBorder="1" applyAlignment="1">
      <alignment horizontal="left" vertical="top" wrapText="1"/>
    </xf>
    <xf numFmtId="0" fontId="3" fillId="9" borderId="19" xfId="0" applyFont="1" applyFill="1" applyBorder="1" applyAlignment="1">
      <alignment horizontal="left" vertical="top" wrapText="1"/>
    </xf>
    <xf numFmtId="0" fontId="3" fillId="9" borderId="18" xfId="0" applyFont="1" applyFill="1" applyBorder="1" applyAlignment="1">
      <alignment horizontal="left" vertical="top" wrapText="1"/>
    </xf>
    <xf numFmtId="0" fontId="3" fillId="2" borderId="17" xfId="0" applyFont="1" applyFill="1" applyBorder="1"/>
    <xf numFmtId="0" fontId="3" fillId="6" borderId="17" xfId="0" applyFont="1" applyFill="1" applyBorder="1" applyAlignment="1">
      <alignment horizontal="left" vertical="top" wrapText="1"/>
    </xf>
    <xf numFmtId="0" fontId="3" fillId="7" borderId="27" xfId="0" applyFont="1" applyFill="1" applyBorder="1" applyAlignment="1">
      <alignment horizontal="left" vertical="top" wrapText="1"/>
    </xf>
    <xf numFmtId="0" fontId="3" fillId="5" borderId="17" xfId="0" applyFont="1" applyFill="1" applyBorder="1" applyAlignment="1">
      <alignment horizontal="left" vertical="top" wrapText="1"/>
    </xf>
    <xf numFmtId="0" fontId="3" fillId="8" borderId="17" xfId="0" applyFont="1" applyFill="1" applyBorder="1" applyAlignment="1">
      <alignment horizontal="left" vertical="top" wrapText="1"/>
    </xf>
    <xf numFmtId="0" fontId="3" fillId="9" borderId="17" xfId="0" applyFont="1" applyFill="1" applyBorder="1" applyAlignment="1">
      <alignment horizontal="left" vertical="top" wrapText="1"/>
    </xf>
    <xf numFmtId="0" fontId="6" fillId="0" borderId="27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6" fillId="0" borderId="27" xfId="0" applyFont="1" applyBorder="1"/>
    <xf numFmtId="0" fontId="3" fillId="0" borderId="27" xfId="0" applyFont="1" applyBorder="1"/>
    <xf numFmtId="0" fontId="3" fillId="0" borderId="28" xfId="0" applyFont="1" applyBorder="1"/>
    <xf numFmtId="0" fontId="3" fillId="2" borderId="29" xfId="0" applyFont="1" applyFill="1" applyBorder="1"/>
    <xf numFmtId="0" fontId="18" fillId="0" borderId="17" xfId="0" applyFont="1" applyBorder="1" applyAlignment="1">
      <alignment horizontal="left" vertical="top" wrapText="1"/>
    </xf>
    <xf numFmtId="0" fontId="3" fillId="0" borderId="26" xfId="0" applyFont="1" applyBorder="1"/>
    <xf numFmtId="0" fontId="1" fillId="4" borderId="30" xfId="0" applyFont="1" applyFill="1" applyBorder="1" applyAlignment="1">
      <alignment horizontal="left" vertical="center"/>
    </xf>
    <xf numFmtId="0" fontId="1" fillId="4" borderId="21" xfId="0" applyFont="1" applyFill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6" borderId="23" xfId="0" applyFont="1" applyFill="1" applyBorder="1" applyAlignment="1">
      <alignment horizontal="left" vertical="top" wrapText="1"/>
    </xf>
    <xf numFmtId="0" fontId="1" fillId="5" borderId="23" xfId="0" applyFont="1" applyFill="1" applyBorder="1" applyAlignment="1">
      <alignment horizontal="left" vertical="top" wrapText="1"/>
    </xf>
    <xf numFmtId="0" fontId="1" fillId="8" borderId="23" xfId="0" applyFont="1" applyFill="1" applyBorder="1" applyAlignment="1">
      <alignment horizontal="left" vertical="top" wrapText="1"/>
    </xf>
    <xf numFmtId="0" fontId="1" fillId="9" borderId="23" xfId="0" applyFont="1" applyFill="1" applyBorder="1" applyAlignment="1">
      <alignment horizontal="left" vertical="top" wrapText="1"/>
    </xf>
    <xf numFmtId="0" fontId="3" fillId="7" borderId="31" xfId="0" applyFont="1" applyFill="1" applyBorder="1" applyAlignment="1">
      <alignment horizontal="left" vertical="top" wrapText="1"/>
    </xf>
    <xf numFmtId="0" fontId="3" fillId="5" borderId="25" xfId="0" applyFont="1" applyFill="1" applyBorder="1" applyAlignment="1">
      <alignment horizontal="left" vertical="top" wrapText="1"/>
    </xf>
    <xf numFmtId="0" fontId="3" fillId="8" borderId="25" xfId="0" applyFont="1" applyFill="1" applyBorder="1" applyAlignment="1">
      <alignment horizontal="left" vertical="top" wrapText="1"/>
    </xf>
    <xf numFmtId="0" fontId="3" fillId="9" borderId="25" xfId="0" applyFont="1" applyFill="1" applyBorder="1" applyAlignment="1">
      <alignment horizontal="left" vertical="top" wrapText="1"/>
    </xf>
    <xf numFmtId="0" fontId="3" fillId="6" borderId="25" xfId="0" applyFont="1" applyFill="1" applyBorder="1" applyAlignment="1">
      <alignment horizontal="left" vertical="top" wrapText="1"/>
    </xf>
    <xf numFmtId="0" fontId="3" fillId="2" borderId="33" xfId="0" applyFont="1" applyFill="1" applyBorder="1"/>
    <xf numFmtId="0" fontId="1" fillId="4" borderId="25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 vertical="top" wrapText="1"/>
    </xf>
    <xf numFmtId="0" fontId="1" fillId="4" borderId="17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top" wrapText="1"/>
    </xf>
    <xf numFmtId="0" fontId="3" fillId="3" borderId="17" xfId="0" applyFont="1" applyFill="1" applyBorder="1"/>
    <xf numFmtId="0" fontId="18" fillId="0" borderId="17" xfId="0" applyFont="1" applyBorder="1" applyAlignment="1">
      <alignment vertical="top" wrapText="1"/>
    </xf>
    <xf numFmtId="0" fontId="3" fillId="7" borderId="17" xfId="0" applyFont="1" applyFill="1" applyBorder="1" applyAlignment="1">
      <alignment horizontal="left" vertical="top" wrapText="1"/>
    </xf>
    <xf numFmtId="0" fontId="18" fillId="5" borderId="17" xfId="0" applyFont="1" applyFill="1" applyBorder="1" applyAlignment="1">
      <alignment horizontal="left" vertical="top" wrapText="1"/>
    </xf>
    <xf numFmtId="0" fontId="3" fillId="3" borderId="24" xfId="0" applyFont="1" applyFill="1" applyBorder="1"/>
    <xf numFmtId="0" fontId="3" fillId="0" borderId="34" xfId="0" applyFont="1" applyBorder="1" applyAlignment="1">
      <alignment horizontal="left" vertical="top" wrapText="1"/>
    </xf>
    <xf numFmtId="0" fontId="3" fillId="6" borderId="22" xfId="0" applyFont="1" applyFill="1" applyBorder="1" applyAlignment="1">
      <alignment horizontal="left" vertical="top" wrapText="1"/>
    </xf>
    <xf numFmtId="0" fontId="3" fillId="7" borderId="22" xfId="0" applyFont="1" applyFill="1" applyBorder="1" applyAlignment="1">
      <alignment horizontal="left" vertical="top" wrapText="1"/>
    </xf>
    <xf numFmtId="0" fontId="3" fillId="5" borderId="22" xfId="0" applyFont="1" applyFill="1" applyBorder="1" applyAlignment="1">
      <alignment horizontal="left" vertical="top" wrapText="1"/>
    </xf>
    <xf numFmtId="0" fontId="3" fillId="8" borderId="22" xfId="0" applyFont="1" applyFill="1" applyBorder="1" applyAlignment="1">
      <alignment horizontal="left" vertical="top" wrapText="1"/>
    </xf>
    <xf numFmtId="0" fontId="18" fillId="0" borderId="25" xfId="0" applyFont="1" applyBorder="1" applyAlignment="1">
      <alignment horizontal="left" vertical="top" wrapText="1"/>
    </xf>
    <xf numFmtId="0" fontId="3" fillId="7" borderId="25" xfId="0" applyFont="1" applyFill="1" applyBorder="1" applyAlignment="1">
      <alignment horizontal="left" vertical="top" wrapText="1"/>
    </xf>
    <xf numFmtId="0" fontId="6" fillId="0" borderId="29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6" fillId="0" borderId="3" xfId="0" applyFont="1" applyBorder="1"/>
    <xf numFmtId="0" fontId="3" fillId="0" borderId="3" xfId="0" applyFont="1" applyBorder="1"/>
    <xf numFmtId="0" fontId="3" fillId="7" borderId="19" xfId="0" applyFont="1" applyFill="1" applyBorder="1" applyAlignment="1">
      <alignment horizontal="left" vertical="top" wrapText="1"/>
    </xf>
    <xf numFmtId="0" fontId="18" fillId="5" borderId="19" xfId="0" applyFont="1" applyFill="1" applyBorder="1" applyAlignment="1">
      <alignment horizontal="left" vertical="top" wrapText="1"/>
    </xf>
    <xf numFmtId="0" fontId="16" fillId="9" borderId="14" xfId="0" applyFont="1" applyFill="1" applyBorder="1" applyAlignment="1">
      <alignment horizontal="left" vertical="top" wrapText="1"/>
    </xf>
    <xf numFmtId="0" fontId="16" fillId="8" borderId="35" xfId="0" applyFont="1" applyFill="1" applyBorder="1" applyAlignment="1">
      <alignment horizontal="left" vertical="top" wrapText="1"/>
    </xf>
    <xf numFmtId="0" fontId="16" fillId="7" borderId="35" xfId="0" applyFont="1" applyFill="1" applyBorder="1" applyAlignment="1">
      <alignment horizontal="left" vertical="top" wrapText="1"/>
    </xf>
    <xf numFmtId="0" fontId="16" fillId="6" borderId="35" xfId="0" applyFont="1" applyFill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19" fillId="12" borderId="14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36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3" fillId="6" borderId="36" xfId="0" applyFont="1" applyFill="1" applyBorder="1" applyAlignment="1">
      <alignment horizontal="left" vertical="top" wrapText="1"/>
    </xf>
    <xf numFmtId="0" fontId="3" fillId="7" borderId="23" xfId="0" applyFont="1" applyFill="1" applyBorder="1" applyAlignment="1">
      <alignment horizontal="left" vertical="top" wrapText="1"/>
    </xf>
    <xf numFmtId="0" fontId="3" fillId="5" borderId="23" xfId="0" applyFont="1" applyFill="1" applyBorder="1" applyAlignment="1">
      <alignment horizontal="left" vertical="top" wrapText="1"/>
    </xf>
    <xf numFmtId="0" fontId="3" fillId="8" borderId="23" xfId="0" applyFont="1" applyFill="1" applyBorder="1" applyAlignment="1">
      <alignment horizontal="left" vertical="top" wrapText="1"/>
    </xf>
    <xf numFmtId="0" fontId="6" fillId="0" borderId="36" xfId="0" applyFont="1" applyBorder="1" applyAlignment="1">
      <alignment horizontal="left"/>
    </xf>
    <xf numFmtId="0" fontId="8" fillId="0" borderId="37" xfId="0" applyFont="1" applyBorder="1" applyAlignment="1">
      <alignment horizontal="left" vertical="top" wrapText="1"/>
    </xf>
    <xf numFmtId="0" fontId="3" fillId="7" borderId="35" xfId="0" applyFont="1" applyFill="1" applyBorder="1" applyAlignment="1">
      <alignment horizontal="left" vertical="top" wrapText="1"/>
    </xf>
    <xf numFmtId="0" fontId="3" fillId="9" borderId="23" xfId="0" applyFont="1" applyFill="1" applyBorder="1" applyAlignment="1">
      <alignment horizontal="left" vertical="top" wrapText="1"/>
    </xf>
    <xf numFmtId="0" fontId="3" fillId="6" borderId="23" xfId="0" applyFont="1" applyFill="1" applyBorder="1" applyAlignment="1">
      <alignment horizontal="left" vertical="top" wrapText="1"/>
    </xf>
    <xf numFmtId="0" fontId="19" fillId="12" borderId="23" xfId="0" applyFont="1" applyFill="1" applyBorder="1" applyAlignment="1">
      <alignment horizontal="center" vertical="center"/>
    </xf>
    <xf numFmtId="0" fontId="19" fillId="12" borderId="23" xfId="0" applyFont="1" applyFill="1" applyBorder="1" applyAlignment="1">
      <alignment horizontal="center" vertical="center" wrapText="1"/>
    </xf>
    <xf numFmtId="0" fontId="3" fillId="6" borderId="37" xfId="0" applyFont="1" applyFill="1" applyBorder="1" applyAlignment="1">
      <alignment horizontal="left" vertical="top" wrapText="1"/>
    </xf>
    <xf numFmtId="0" fontId="3" fillId="8" borderId="35" xfId="0" applyFont="1" applyFill="1" applyBorder="1" applyAlignment="1">
      <alignment horizontal="left" vertical="top" wrapText="1"/>
    </xf>
    <xf numFmtId="0" fontId="3" fillId="9" borderId="35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9" fillId="12" borderId="17" xfId="0" applyFont="1" applyFill="1" applyBorder="1" applyAlignment="1">
      <alignment horizontal="center" vertical="center"/>
    </xf>
    <xf numFmtId="0" fontId="19" fillId="12" borderId="28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left" vertical="top" wrapText="1"/>
    </xf>
    <xf numFmtId="0" fontId="3" fillId="8" borderId="27" xfId="0" applyFont="1" applyFill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6" borderId="35" xfId="0" applyFont="1" applyFill="1" applyBorder="1" applyAlignment="1">
      <alignment horizontal="left" vertical="top" wrapText="1"/>
    </xf>
    <xf numFmtId="0" fontId="3" fillId="5" borderId="35" xfId="0" applyFont="1" applyFill="1" applyBorder="1" applyAlignment="1">
      <alignment horizontal="left" vertical="top" wrapText="1"/>
    </xf>
    <xf numFmtId="0" fontId="16" fillId="6" borderId="17" xfId="0" applyFont="1" applyFill="1" applyBorder="1" applyAlignment="1">
      <alignment horizontal="left" vertical="top" wrapText="1"/>
    </xf>
    <xf numFmtId="0" fontId="16" fillId="7" borderId="17" xfId="0" applyFont="1" applyFill="1" applyBorder="1" applyAlignment="1">
      <alignment horizontal="left" vertical="top" wrapText="1"/>
    </xf>
    <xf numFmtId="0" fontId="16" fillId="5" borderId="17" xfId="0" applyFont="1" applyFill="1" applyBorder="1" applyAlignment="1">
      <alignment horizontal="left" vertical="top" wrapText="1"/>
    </xf>
    <xf numFmtId="0" fontId="16" fillId="8" borderId="17" xfId="0" applyFont="1" applyFill="1" applyBorder="1" applyAlignment="1">
      <alignment horizontal="left" vertical="top" wrapText="1"/>
    </xf>
    <xf numFmtId="0" fontId="16" fillId="9" borderId="17" xfId="0" applyFont="1" applyFill="1" applyBorder="1" applyAlignment="1">
      <alignment horizontal="left" vertical="top" wrapText="1"/>
    </xf>
    <xf numFmtId="0" fontId="21" fillId="13" borderId="17" xfId="0" applyFont="1" applyFill="1" applyBorder="1" applyAlignment="1">
      <alignment horizontal="center" vertical="center" wrapText="1"/>
    </xf>
    <xf numFmtId="0" fontId="21" fillId="13" borderId="25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/>
    </xf>
    <xf numFmtId="0" fontId="21" fillId="13" borderId="10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14" borderId="3" xfId="0" applyFont="1" applyFill="1" applyBorder="1"/>
    <xf numFmtId="0" fontId="3" fillId="14" borderId="24" xfId="0" applyFont="1" applyFill="1" applyBorder="1"/>
    <xf numFmtId="0" fontId="3" fillId="14" borderId="17" xfId="0" applyFont="1" applyFill="1" applyBorder="1"/>
    <xf numFmtId="0" fontId="3" fillId="14" borderId="32" xfId="0" applyFont="1" applyFill="1" applyBorder="1"/>
    <xf numFmtId="0" fontId="1" fillId="4" borderId="2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21" fillId="13" borderId="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22" fillId="0" borderId="25" xfId="0" applyFont="1" applyBorder="1" applyAlignment="1">
      <alignment horizontal="left" vertical="top" wrapText="1"/>
    </xf>
    <xf numFmtId="0" fontId="6" fillId="0" borderId="38" xfId="0" applyFont="1" applyBorder="1" applyAlignment="1">
      <alignment horizontal="left"/>
    </xf>
    <xf numFmtId="0" fontId="22" fillId="0" borderId="19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18" fillId="5" borderId="3" xfId="0" applyFont="1" applyFill="1" applyBorder="1" applyAlignment="1">
      <alignment horizontal="left" vertical="top" wrapText="1"/>
    </xf>
    <xf numFmtId="0" fontId="8" fillId="5" borderId="14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8" fillId="5" borderId="11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horizontal="center" vertical="top"/>
    </xf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Connaissance'!$C$12</c:f>
              <c:strCache>
                <c:ptCount val="1"/>
                <c:pt idx="0">
                  <c:v>Finalité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7-451E-894A-EC25E67D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6500814"/>
        <c:axId val="371228491"/>
      </c:barChart>
      <c:catAx>
        <c:axId val="1846500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71228491"/>
        <c:crosses val="autoZero"/>
        <c:auto val="1"/>
        <c:lblAlgn val="ctr"/>
        <c:lblOffset val="100"/>
        <c:noMultiLvlLbl val="1"/>
      </c:catAx>
      <c:valAx>
        <c:axId val="371228491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846500814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Connaissance'!$D$12</c:f>
              <c:strCache>
                <c:ptCount val="1"/>
                <c:pt idx="0">
                  <c:v>Actions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A-4E7E-8C0A-8A9726CD3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4209695"/>
        <c:axId val="2084876279"/>
      </c:barChart>
      <c:catAx>
        <c:axId val="83420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84876279"/>
        <c:crosses val="autoZero"/>
        <c:auto val="1"/>
        <c:lblAlgn val="ctr"/>
        <c:lblOffset val="100"/>
        <c:noMultiLvlLbl val="1"/>
      </c:catAx>
      <c:valAx>
        <c:axId val="2084876279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834209695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Connaissance'!$E$12</c:f>
              <c:strCache>
                <c:ptCount val="1"/>
                <c:pt idx="0">
                  <c:v>Animations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5-4909-9567-932194BB4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9497120"/>
        <c:axId val="178731357"/>
      </c:barChart>
      <c:catAx>
        <c:axId val="142949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8731357"/>
        <c:crosses val="autoZero"/>
        <c:auto val="1"/>
        <c:lblAlgn val="ctr"/>
        <c:lblOffset val="100"/>
        <c:noMultiLvlLbl val="1"/>
      </c:catAx>
      <c:valAx>
        <c:axId val="178731357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29497120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Connaissance'!$F$12</c:f>
              <c:strCache>
                <c:ptCount val="1"/>
                <c:pt idx="0">
                  <c:v>Gestionnaire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Connaissance'!$F$13:$F$17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5-4D17-B1DB-A9E78F0FC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649496"/>
        <c:axId val="200819974"/>
      </c:barChart>
      <c:catAx>
        <c:axId val="954649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0819974"/>
        <c:crosses val="autoZero"/>
        <c:auto val="1"/>
        <c:lblAlgn val="ctr"/>
        <c:lblOffset val="100"/>
        <c:noMultiLvlLbl val="1"/>
      </c:catAx>
      <c:valAx>
        <c:axId val="200819974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954649496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Connaissance'!$G$12</c:f>
              <c:strCache>
                <c:ptCount val="1"/>
                <c:pt idx="0">
                  <c:v>Périmètre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Connaissance'!$G$13:$G$17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3-437B-B2CC-9BC9D8EC4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023686"/>
        <c:axId val="1379465433"/>
      </c:barChart>
      <c:catAx>
        <c:axId val="541023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79465433"/>
        <c:crosses val="autoZero"/>
        <c:auto val="1"/>
        <c:lblAlgn val="ctr"/>
        <c:lblOffset val="100"/>
        <c:noMultiLvlLbl val="1"/>
      </c:catAx>
      <c:valAx>
        <c:axId val="1379465433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541023686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Connaissance'!$H$12</c:f>
              <c:strCache>
                <c:ptCount val="1"/>
                <c:pt idx="0">
                  <c:v>Règlementation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Connaissance'!$H$13:$H$17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F-415B-BB72-BF23D9BE9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8064880"/>
        <c:axId val="802912373"/>
      </c:barChart>
      <c:catAx>
        <c:axId val="194806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02912373"/>
        <c:crosses val="autoZero"/>
        <c:auto val="1"/>
        <c:lblAlgn val="ctr"/>
        <c:lblOffset val="100"/>
        <c:noMultiLvlLbl val="1"/>
      </c:catAx>
      <c:valAx>
        <c:axId val="802912373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948064880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Connaissance'!$I$12</c:f>
              <c:strCache>
                <c:ptCount val="1"/>
                <c:pt idx="0">
                  <c:v>Espèces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Connaissance'!$I$13:$I$17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B-45D2-86FC-51D8EAC7E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3336278"/>
        <c:axId val="106974538"/>
      </c:barChart>
      <c:catAx>
        <c:axId val="1283336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06974538"/>
        <c:crosses val="autoZero"/>
        <c:auto val="1"/>
        <c:lblAlgn val="ctr"/>
        <c:lblOffset val="100"/>
        <c:noMultiLvlLbl val="1"/>
      </c:catAx>
      <c:valAx>
        <c:axId val="106974538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283336278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Connaissance'!$J$12</c:f>
              <c:strCache>
                <c:ptCount val="1"/>
                <c:pt idx="0">
                  <c:v>Communication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Connaissance'!$J$13:$J$17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6-4858-B69B-21A9E4F20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449512"/>
        <c:axId val="965901825"/>
      </c:barChart>
      <c:catAx>
        <c:axId val="1272449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65901825"/>
        <c:crosses val="autoZero"/>
        <c:auto val="1"/>
        <c:lblAlgn val="ctr"/>
        <c:lblOffset val="100"/>
        <c:noMultiLvlLbl val="1"/>
      </c:catAx>
      <c:valAx>
        <c:axId val="965901825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272449512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Connaissance'!$C$60</c:f>
              <c:strCache>
                <c:ptCount val="1"/>
                <c:pt idx="0">
                  <c:v>Finalité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3A0-4798-A7FB-72ED5A2FDB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B3A0-4798-A7FB-72ED5A2FDB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B3A0-4798-A7FB-72ED5A2FDB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B3A0-4798-A7FB-72ED5A2FDB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B3A0-4798-A7FB-72ED5A2FDBC1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Connaissance'!$C$61:$C$65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A0-4798-A7FB-72ED5A2F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Connaissance'!$D$60</c:f>
              <c:strCache>
                <c:ptCount val="1"/>
                <c:pt idx="0">
                  <c:v>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BC7-4F62-B2CE-3660E828F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BC7-4F62-B2CE-3660E828F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BC7-4F62-B2CE-3660E828F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BC7-4F62-B2CE-3660E828F9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BC7-4F62-B2CE-3660E828F96F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Connaissance'!$D$61:$D$65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C7-4F62-B2CE-3660E828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Connaissance'!$E$60</c:f>
              <c:strCache>
                <c:ptCount val="1"/>
                <c:pt idx="0">
                  <c:v>Animations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F23-416F-8905-B2BA67DA69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EF23-416F-8905-B2BA67DA69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EF23-416F-8905-B2BA67DA69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EF23-416F-8905-B2BA67DA69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EF23-416F-8905-B2BA67DA6949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Connaissance'!$E$61:$E$65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23-416F-8905-B2BA67DA6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Connaissance'!$F$60</c:f>
              <c:strCache>
                <c:ptCount val="1"/>
                <c:pt idx="0">
                  <c:v>Gestionnaire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A30-4AD9-8AFA-1A9E4614F9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A30-4AD9-8AFA-1A9E4614F9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FA30-4AD9-8AFA-1A9E4614F9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FA30-4AD9-8AFA-1A9E4614F9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FA30-4AD9-8AFA-1A9E4614F93D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Connaissance'!$F$61:$F$65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30-4AD9-8AFA-1A9E4614F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Connaissance'!$G$60</c:f>
              <c:strCache>
                <c:ptCount val="1"/>
                <c:pt idx="0">
                  <c:v>Périmètre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1399-402E-854F-3D4590DC9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1399-402E-854F-3D4590DC92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1399-402E-854F-3D4590DC92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1399-402E-854F-3D4590DC92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1399-402E-854F-3D4590DC92FE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Connaissance'!$G$61:$G$65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99-402E-854F-3D4590DC9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Connaissance'!$H$60</c:f>
              <c:strCache>
                <c:ptCount val="1"/>
                <c:pt idx="0">
                  <c:v>Règlementation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FE0-474D-A292-26722F05CD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FE0-474D-A292-26722F05CD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FE0-474D-A292-26722F05CD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FE0-474D-A292-26722F05CD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FE0-474D-A292-26722F05CDCC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Connaissance'!$H$61:$H$65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E0-474D-A292-26722F05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Connaissance'!$I$60</c:f>
              <c:strCache>
                <c:ptCount val="1"/>
                <c:pt idx="0">
                  <c:v>Espèces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FDC-44F2-B4BC-FCC5408D8E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EFDC-44F2-B4BC-FCC5408D8E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EFDC-44F2-B4BC-FCC5408D8E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EFDC-44F2-B4BC-FCC5408D8E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EFDC-44F2-B4BC-FCC5408D8ECA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Connaissance'!$I$61:$I$65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DC-44F2-B4BC-FCC5408D8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Connaissance'!$J$60</c:f>
              <c:strCache>
                <c:ptCount val="1"/>
                <c:pt idx="0">
                  <c:v>Communication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48B-461D-AB70-CB244B589E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48B-461D-AB70-CB244B589E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48B-461D-AB70-CB244B589E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48B-461D-AB70-CB244B589E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48B-461D-AB70-CB244B589EE1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Connaissance'!$J$61:$J$65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8B-461D-AB70-CB244B589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Connaissance'!$K$60</c:f>
              <c:strCache>
                <c:ptCount val="1"/>
                <c:pt idx="0">
                  <c:v>Contact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A41-4367-A4DC-50138823F8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A41-4367-A4DC-50138823F8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A41-4367-A4DC-50138823F8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A41-4367-A4DC-50138823F8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A41-4367-A4DC-50138823F867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Connaissance'!$K$61:$K$65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41-4367-A4DC-50138823F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Connaissance'!$L$60</c:f>
              <c:strCache>
                <c:ptCount val="1"/>
                <c:pt idx="0">
                  <c:v>Informations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BFE-464C-9BC0-4FC0EE37D9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BFE-464C-9BC0-4FC0EE37D9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BFE-464C-9BC0-4FC0EE37D9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2BFE-464C-9BC0-4FC0EE37D9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2BFE-464C-9BC0-4FC0EE37D964}"/>
              </c:ext>
            </c:extLst>
          </c:dPt>
          <c:cat>
            <c:strRef>
              <c:f>'Graphs Connaissance'!$B$61:$B$65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Connaissance'!$L$61:$L$65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FE-464C-9BC0-4FC0EE37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Indicateur</a:t>
            </a:r>
            <a:r>
              <a:rPr lang="fr-FR" baseline="0"/>
              <a:t> : Etat de connaissance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'Graphs Connaissance'!$B$13</c:f>
              <c:strCache>
                <c:ptCount val="1"/>
                <c:pt idx="0">
                  <c:v>MEDIANE Groupe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'Graphs Connaissance'!$C$12:$L$12</c:f>
              <c:strCache>
                <c:ptCount val="10"/>
                <c:pt idx="0">
                  <c:v>Finalité</c:v>
                </c:pt>
                <c:pt idx="1">
                  <c:v>Actions</c:v>
                </c:pt>
                <c:pt idx="2">
                  <c:v>Animations</c:v>
                </c:pt>
                <c:pt idx="3">
                  <c:v>Gestionnaire</c:v>
                </c:pt>
                <c:pt idx="4">
                  <c:v>Périmètre</c:v>
                </c:pt>
                <c:pt idx="5">
                  <c:v>Règlementation</c:v>
                </c:pt>
                <c:pt idx="6">
                  <c:v>Espèces</c:v>
                </c:pt>
                <c:pt idx="7">
                  <c:v>Communication</c:v>
                </c:pt>
                <c:pt idx="8">
                  <c:v>Contact</c:v>
                </c:pt>
                <c:pt idx="9">
                  <c:v>Informations</c:v>
                </c:pt>
              </c:strCache>
            </c:strRef>
          </c:cat>
          <c:val>
            <c:numRef>
              <c:f>'Graphs Connaissance'!$C$13:$L$13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3-4697-8F3E-0D0293903FC6}"/>
            </c:ext>
          </c:extLst>
        </c:ser>
        <c:ser>
          <c:idx val="1"/>
          <c:order val="1"/>
          <c:tx>
            <c:strRef>
              <c:f>'Graphs Connaissance'!$B$14</c:f>
              <c:strCache>
                <c:ptCount val="1"/>
                <c:pt idx="0">
                  <c:v>MEDIANE Groupe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'Graphs Connaissance'!$C$12:$L$12</c:f>
              <c:strCache>
                <c:ptCount val="10"/>
                <c:pt idx="0">
                  <c:v>Finalité</c:v>
                </c:pt>
                <c:pt idx="1">
                  <c:v>Actions</c:v>
                </c:pt>
                <c:pt idx="2">
                  <c:v>Animations</c:v>
                </c:pt>
                <c:pt idx="3">
                  <c:v>Gestionnaire</c:v>
                </c:pt>
                <c:pt idx="4">
                  <c:v>Périmètre</c:v>
                </c:pt>
                <c:pt idx="5">
                  <c:v>Règlementation</c:v>
                </c:pt>
                <c:pt idx="6">
                  <c:v>Espèces</c:v>
                </c:pt>
                <c:pt idx="7">
                  <c:v>Communication</c:v>
                </c:pt>
                <c:pt idx="8">
                  <c:v>Contact</c:v>
                </c:pt>
                <c:pt idx="9">
                  <c:v>Informations</c:v>
                </c:pt>
              </c:strCache>
            </c:strRef>
          </c:cat>
          <c:val>
            <c:numRef>
              <c:f>'Graphs Connaissance'!$C$14:$L$14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3-4697-8F3E-0D0293903FC6}"/>
            </c:ext>
          </c:extLst>
        </c:ser>
        <c:ser>
          <c:idx val="2"/>
          <c:order val="2"/>
          <c:tx>
            <c:strRef>
              <c:f>'Graphs Connaissance'!$B$15</c:f>
              <c:strCache>
                <c:ptCount val="1"/>
                <c:pt idx="0">
                  <c:v>MEDIANE Groupe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'Graphs Connaissance'!$C$12:$L$12</c:f>
              <c:strCache>
                <c:ptCount val="10"/>
                <c:pt idx="0">
                  <c:v>Finalité</c:v>
                </c:pt>
                <c:pt idx="1">
                  <c:v>Actions</c:v>
                </c:pt>
                <c:pt idx="2">
                  <c:v>Animations</c:v>
                </c:pt>
                <c:pt idx="3">
                  <c:v>Gestionnaire</c:v>
                </c:pt>
                <c:pt idx="4">
                  <c:v>Périmètre</c:v>
                </c:pt>
                <c:pt idx="5">
                  <c:v>Règlementation</c:v>
                </c:pt>
                <c:pt idx="6">
                  <c:v>Espèces</c:v>
                </c:pt>
                <c:pt idx="7">
                  <c:v>Communication</c:v>
                </c:pt>
                <c:pt idx="8">
                  <c:v>Contact</c:v>
                </c:pt>
                <c:pt idx="9">
                  <c:v>Informations</c:v>
                </c:pt>
              </c:strCache>
            </c:strRef>
          </c:cat>
          <c:val>
            <c:numRef>
              <c:f>'Graphs Connaissance'!$C$15:$L$15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83-4697-8F3E-0D0293903FC6}"/>
            </c:ext>
          </c:extLst>
        </c:ser>
        <c:ser>
          <c:idx val="3"/>
          <c:order val="3"/>
          <c:tx>
            <c:strRef>
              <c:f>'Graphs Connaissance'!$B$16</c:f>
              <c:strCache>
                <c:ptCount val="1"/>
                <c:pt idx="0">
                  <c:v>MEDIANE Groupe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'Graphs Connaissance'!$C$12:$L$12</c:f>
              <c:strCache>
                <c:ptCount val="10"/>
                <c:pt idx="0">
                  <c:v>Finalité</c:v>
                </c:pt>
                <c:pt idx="1">
                  <c:v>Actions</c:v>
                </c:pt>
                <c:pt idx="2">
                  <c:v>Animations</c:v>
                </c:pt>
                <c:pt idx="3">
                  <c:v>Gestionnaire</c:v>
                </c:pt>
                <c:pt idx="4">
                  <c:v>Périmètre</c:v>
                </c:pt>
                <c:pt idx="5">
                  <c:v>Règlementation</c:v>
                </c:pt>
                <c:pt idx="6">
                  <c:v>Espèces</c:v>
                </c:pt>
                <c:pt idx="7">
                  <c:v>Communication</c:v>
                </c:pt>
                <c:pt idx="8">
                  <c:v>Contact</c:v>
                </c:pt>
                <c:pt idx="9">
                  <c:v>Informations</c:v>
                </c:pt>
              </c:strCache>
            </c:strRef>
          </c:cat>
          <c:val>
            <c:numRef>
              <c:f>'Graphs Connaissance'!$C$16:$L$16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83-4697-8F3E-0D0293903FC6}"/>
            </c:ext>
          </c:extLst>
        </c:ser>
        <c:ser>
          <c:idx val="4"/>
          <c:order val="4"/>
          <c:tx>
            <c:strRef>
              <c:f>'Graphs Connaissance'!$B$17</c:f>
              <c:strCache>
                <c:ptCount val="1"/>
                <c:pt idx="0">
                  <c:v>MEDIANE Groupe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'Graphs Connaissance'!$C$12:$L$12</c:f>
              <c:strCache>
                <c:ptCount val="10"/>
                <c:pt idx="0">
                  <c:v>Finalité</c:v>
                </c:pt>
                <c:pt idx="1">
                  <c:v>Actions</c:v>
                </c:pt>
                <c:pt idx="2">
                  <c:v>Animations</c:v>
                </c:pt>
                <c:pt idx="3">
                  <c:v>Gestionnaire</c:v>
                </c:pt>
                <c:pt idx="4">
                  <c:v>Périmètre</c:v>
                </c:pt>
                <c:pt idx="5">
                  <c:v>Règlementation</c:v>
                </c:pt>
                <c:pt idx="6">
                  <c:v>Espèces</c:v>
                </c:pt>
                <c:pt idx="7">
                  <c:v>Communication</c:v>
                </c:pt>
                <c:pt idx="8">
                  <c:v>Contact</c:v>
                </c:pt>
                <c:pt idx="9">
                  <c:v>Informations</c:v>
                </c:pt>
              </c:strCache>
            </c:strRef>
          </c:cat>
          <c:val>
            <c:numRef>
              <c:f>'Graphs Connaissance'!$C$17:$L$17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83-4697-8F3E-0D029390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48383"/>
        <c:axId val="1933650879"/>
      </c:radarChart>
      <c:catAx>
        <c:axId val="193364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3650879"/>
        <c:crosses val="autoZero"/>
        <c:auto val="1"/>
        <c:lblAlgn val="ctr"/>
        <c:lblOffset val="100"/>
        <c:noMultiLvlLbl val="0"/>
      </c:catAx>
      <c:valAx>
        <c:axId val="193365087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364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Connaissance'!$K$12</c:f>
              <c:strCache>
                <c:ptCount val="1"/>
                <c:pt idx="0">
                  <c:v>Contact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Connaissance'!$K$13:$K$17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7A0-8E5A-FB1D1F7AD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449512"/>
        <c:axId val="965901825"/>
      </c:barChart>
      <c:catAx>
        <c:axId val="1272449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65901825"/>
        <c:crosses val="autoZero"/>
        <c:auto val="1"/>
        <c:lblAlgn val="ctr"/>
        <c:lblOffset val="100"/>
        <c:noMultiLvlLbl val="1"/>
      </c:catAx>
      <c:valAx>
        <c:axId val="965901825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272449512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Connaissance'!$L$12</c:f>
              <c:strCache>
                <c:ptCount val="1"/>
                <c:pt idx="0">
                  <c:v>Informations</c:v>
                </c:pt>
              </c:strCache>
            </c:strRef>
          </c:tx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Connaissance'!$L$13:$L$17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5-4178-AC3A-DEA50FC49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449512"/>
        <c:axId val="965901825"/>
      </c:barChart>
      <c:catAx>
        <c:axId val="1272449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65901825"/>
        <c:crosses val="autoZero"/>
        <c:auto val="1"/>
        <c:lblAlgn val="ctr"/>
        <c:lblOffset val="100"/>
        <c:noMultiLvlLbl val="1"/>
      </c:catAx>
      <c:valAx>
        <c:axId val="965901825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272449512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Interet'!$C$12</c:f>
              <c:strCache>
                <c:ptCount val="1"/>
                <c:pt idx="0">
                  <c:v>Fréquence visites</c:v>
                </c:pt>
              </c:strCache>
            </c:strRef>
          </c:tx>
          <c:invertIfNegative val="1"/>
          <c:cat>
            <c:strRef>
              <c:f>'Graphs Interet'!$B$13:$B$17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F-43BD-BCE5-375C542A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370827"/>
        <c:axId val="650780315"/>
      </c:barChart>
      <c:catAx>
        <c:axId val="365370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50780315"/>
        <c:crosses val="autoZero"/>
        <c:auto val="1"/>
        <c:lblAlgn val="ctr"/>
        <c:lblOffset val="100"/>
        <c:noMultiLvlLbl val="1"/>
      </c:catAx>
      <c:valAx>
        <c:axId val="650780315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65370827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Interet'!$D$12</c:f>
              <c:strCache>
                <c:ptCount val="1"/>
                <c:pt idx="0">
                  <c:v>Animations avis</c:v>
                </c:pt>
              </c:strCache>
            </c:strRef>
          </c:tx>
          <c:invertIfNegative val="1"/>
          <c:cat>
            <c:strRef>
              <c:f>'Graphs Interet'!$B$13:$B$17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4-4FFA-B17B-5E884B08A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456195"/>
        <c:axId val="1783252874"/>
      </c:barChart>
      <c:catAx>
        <c:axId val="1231456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83252874"/>
        <c:crosses val="autoZero"/>
        <c:auto val="1"/>
        <c:lblAlgn val="ctr"/>
        <c:lblOffset val="100"/>
        <c:noMultiLvlLbl val="1"/>
      </c:catAx>
      <c:valAx>
        <c:axId val="1783252874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231456195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Interet'!$E$12</c:f>
              <c:strCache>
                <c:ptCount val="1"/>
                <c:pt idx="0">
                  <c:v>Règlementation acceptée</c:v>
                </c:pt>
              </c:strCache>
            </c:strRef>
          </c:tx>
          <c:invertIfNegative val="1"/>
          <c:cat>
            <c:strRef>
              <c:f>'Graphs Interet'!$B$13:$B$17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E-40BF-BE29-F8D8023F9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1619069"/>
        <c:axId val="1786855083"/>
      </c:barChart>
      <c:catAx>
        <c:axId val="1571619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86855083"/>
        <c:crosses val="autoZero"/>
        <c:auto val="1"/>
        <c:lblAlgn val="ctr"/>
        <c:lblOffset val="100"/>
        <c:noMultiLvlLbl val="1"/>
      </c:catAx>
      <c:valAx>
        <c:axId val="1786855083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57161906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Ex de graph croisé : Règlementation connaissance / acceptabilité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Connaissance'!$H$13:$H$17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6-489F-9D02-44E74FA76783}"/>
            </c:ext>
          </c:extLst>
        </c:ser>
        <c:ser>
          <c:idx val="1"/>
          <c:order val="1"/>
          <c:invertIfNegative val="1"/>
          <c:cat>
            <c:strRef>
              <c:f>'Graphs Connaissance'!$B$13:$B$17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6-489F-9D02-44E74FA76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9441839"/>
        <c:axId val="995755142"/>
      </c:barChart>
      <c:catAx>
        <c:axId val="729441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95755142"/>
        <c:crosses val="autoZero"/>
        <c:auto val="1"/>
        <c:lblAlgn val="ctr"/>
        <c:lblOffset val="100"/>
        <c:noMultiLvlLbl val="1"/>
      </c:catAx>
      <c:valAx>
        <c:axId val="995755142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29441839"/>
        <c:crosses val="autoZero"/>
        <c:crossBetween val="between"/>
        <c:majorUnit val="1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Interet'!$H$12</c:f>
              <c:strCache>
                <c:ptCount val="1"/>
                <c:pt idx="0">
                  <c:v>Gestion</c:v>
                </c:pt>
              </c:strCache>
            </c:strRef>
          </c:tx>
          <c:invertIfNegative val="1"/>
          <c:cat>
            <c:strRef>
              <c:f>'Graphs Interet'!$B$13:$B$17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Interet'!$H$13:$H$17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2-4A7F-92DD-3306E6A4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238379"/>
        <c:axId val="1563022664"/>
      </c:barChart>
      <c:catAx>
        <c:axId val="1109238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63022664"/>
        <c:crosses val="autoZero"/>
        <c:auto val="1"/>
        <c:lblAlgn val="ctr"/>
        <c:lblOffset val="100"/>
        <c:noMultiLvlLbl val="1"/>
      </c:catAx>
      <c:valAx>
        <c:axId val="1563022664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10923837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Interet'!$I$12</c:f>
              <c:strCache>
                <c:ptCount val="1"/>
                <c:pt idx="0">
                  <c:v>Gestionnaire</c:v>
                </c:pt>
              </c:strCache>
            </c:strRef>
          </c:tx>
          <c:invertIfNegative val="1"/>
          <c:cat>
            <c:strRef>
              <c:f>'Graphs Interet'!$B$13:$B$17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Interet'!$I$13:$I$17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5-4D0F-8071-8E92CEBA0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086202"/>
        <c:axId val="780851127"/>
      </c:barChart>
      <c:catAx>
        <c:axId val="268086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80851127"/>
        <c:crosses val="autoZero"/>
        <c:auto val="1"/>
        <c:lblAlgn val="ctr"/>
        <c:lblOffset val="100"/>
        <c:noMultiLvlLbl val="1"/>
      </c:catAx>
      <c:valAx>
        <c:axId val="780851127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6808620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Interet'!$J$12</c:f>
              <c:strCache>
                <c:ptCount val="1"/>
                <c:pt idx="0">
                  <c:v>Plus values territoire</c:v>
                </c:pt>
              </c:strCache>
            </c:strRef>
          </c:tx>
          <c:invertIfNegative val="1"/>
          <c:cat>
            <c:strRef>
              <c:f>'Graphs Interet'!$B$13:$B$17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Interet'!$J$13:$J$17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1-474F-9B7F-AE8FE6EB0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965524"/>
        <c:axId val="409663424"/>
      </c:barChart>
      <c:catAx>
        <c:axId val="1149965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09663424"/>
        <c:crosses val="autoZero"/>
        <c:auto val="1"/>
        <c:lblAlgn val="ctr"/>
        <c:lblOffset val="100"/>
        <c:noMultiLvlLbl val="1"/>
      </c:catAx>
      <c:valAx>
        <c:axId val="409663424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149965524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Interet'!$K$12</c:f>
              <c:strCache>
                <c:ptCount val="1"/>
                <c:pt idx="0">
                  <c:v>Plus values perso</c:v>
                </c:pt>
              </c:strCache>
            </c:strRef>
          </c:tx>
          <c:invertIfNegative val="1"/>
          <c:cat>
            <c:strRef>
              <c:f>'Graphs Interet'!$B$13:$B$17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'Graphs Interet'!$K$13:$K$17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3-4996-A6EB-7A860B79F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412846"/>
        <c:axId val="396016864"/>
      </c:barChart>
      <c:catAx>
        <c:axId val="1228412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96016864"/>
        <c:crosses val="autoZero"/>
        <c:auto val="1"/>
        <c:lblAlgn val="ctr"/>
        <c:lblOffset val="100"/>
        <c:noMultiLvlLbl val="1"/>
      </c:catAx>
      <c:valAx>
        <c:axId val="396016864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228412846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7282168567103388"/>
          <c:y val="8.943089430894309E-2"/>
          <c:w val="0.4322261791964801"/>
          <c:h val="0.63516164138019338"/>
        </c:manualLayout>
      </c:layout>
      <c:pieChart>
        <c:varyColors val="1"/>
        <c:ser>
          <c:idx val="0"/>
          <c:order val="0"/>
          <c:tx>
            <c:strRef>
              <c:f>'Graphs Interet'!$C$60</c:f>
              <c:strCache>
                <c:ptCount val="1"/>
                <c:pt idx="0">
                  <c:v>Fréquence visites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6A0-4286-9227-A248D535F9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06A0-4286-9227-A248D535F9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06A0-4286-9227-A248D535F9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06A0-4286-9227-A248D535F9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06A0-4286-9227-A248D535F957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Interet'!$C$61:$C$65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A0-4286-9227-A248D535F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Interet'!$D$60</c:f>
              <c:strCache>
                <c:ptCount val="1"/>
                <c:pt idx="0">
                  <c:v>Animations avis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872-4BE7-A17C-C6483E6493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872-4BE7-A17C-C6483E6493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872-4BE7-A17C-C6483E6493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872-4BE7-A17C-C6483E6493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872-4BE7-A17C-C6483E6493B3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Interet'!$D$61:$D$65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72-4BE7-A17C-C6483E649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Interet'!$E$60</c:f>
              <c:strCache>
                <c:ptCount val="1"/>
                <c:pt idx="0">
                  <c:v>Règlementation acceptée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CD2-41A6-BA81-795FBB116B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CD2-41A6-BA81-795FBB116B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CD2-41A6-BA81-795FBB116B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CD2-41A6-BA81-795FBB116B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CD2-41A6-BA81-795FBB116BED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Interet'!$E$61:$E$65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D2-41A6-BA81-795FBB116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Interet'!$F$60</c:f>
              <c:strCache>
                <c:ptCount val="1"/>
                <c:pt idx="0">
                  <c:v>Importance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85C-4892-AF02-87BF581486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85C-4892-AF02-87BF581486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85C-4892-AF02-87BF581486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85C-4892-AF02-87BF581486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85C-4892-AF02-87BF5814860B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Interet'!$F$61:$F$65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5C-4892-AF02-87BF5814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Interet'!$G$60</c:f>
              <c:strCache>
                <c:ptCount val="1"/>
                <c:pt idx="0">
                  <c:v>Efficacité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93C-46C2-A66A-AD16BB58A6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093C-46C2-A66A-AD16BB58A6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093C-46C2-A66A-AD16BB58A6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093C-46C2-A66A-AD16BB58A6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093C-46C2-A66A-AD16BB58A695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Interet'!$G$61:$G$65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3C-46C2-A66A-AD16BB58A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Interet'!$H$60</c:f>
              <c:strCache>
                <c:ptCount val="1"/>
                <c:pt idx="0">
                  <c:v>Gestion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95D-4A34-B4BD-7E0FACFB3E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95D-4A34-B4BD-7E0FACFB3E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95D-4A34-B4BD-7E0FACFB3E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95D-4A34-B4BD-7E0FACFB3E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95D-4A34-B4BD-7E0FACFB3E32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Interet'!$H$61:$H$65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5D-4A34-B4BD-7E0FACFB3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Interet'!$I$60</c:f>
              <c:strCache>
                <c:ptCount val="1"/>
                <c:pt idx="0">
                  <c:v>Gestionnaire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1F6-436C-A57F-0B5E29DF11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41F6-436C-A57F-0B5E29DF11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41F6-436C-A57F-0B5E29DF11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41F6-436C-A57F-0B5E29DF11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41F6-436C-A57F-0B5E29DF1116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Interet'!$I$61:$I$65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F6-436C-A57F-0B5E29DF1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Interet'!$J$60</c:f>
              <c:strCache>
                <c:ptCount val="1"/>
                <c:pt idx="0">
                  <c:v>Plus values territoire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54D-4952-8410-CE5A7119F7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54D-4952-8410-CE5A7119F7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754D-4952-8410-CE5A7119F7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754D-4952-8410-CE5A7119F7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754D-4952-8410-CE5A7119F729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Interet'!$J$61:$J$65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4D-4952-8410-CE5A7119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Interet'!$K$60</c:f>
              <c:strCache>
                <c:ptCount val="1"/>
                <c:pt idx="0">
                  <c:v>Plus values perso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11AD-416A-944D-B7B8BC5888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11AD-416A-944D-B7B8BC5888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11AD-416A-944D-B7B8BC5888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11AD-416A-944D-B7B8BC5888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11AD-416A-944D-B7B8BC588891}"/>
              </c:ext>
            </c:extLst>
          </c:dPt>
          <c:cat>
            <c:strRef>
              <c:f>'Graphs Interet'!$B$61:$B$65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Interet'!$K$61:$K$65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AD-416A-944D-B7B8BC58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Indicateur : état d'intérêt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'Graphs Interet'!$B$13</c:f>
              <c:strCache>
                <c:ptCount val="1"/>
                <c:pt idx="0">
                  <c:v>MEDIANE Groupe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'Graphs Interet'!$C$12:$K$12</c:f>
              <c:strCache>
                <c:ptCount val="9"/>
                <c:pt idx="0">
                  <c:v>Fréquence visites</c:v>
                </c:pt>
                <c:pt idx="1">
                  <c:v>Animations avis</c:v>
                </c:pt>
                <c:pt idx="2">
                  <c:v>Règlementation acceptée</c:v>
                </c:pt>
                <c:pt idx="3">
                  <c:v>Importance</c:v>
                </c:pt>
                <c:pt idx="4">
                  <c:v>Efficacité</c:v>
                </c:pt>
                <c:pt idx="5">
                  <c:v>Gestion</c:v>
                </c:pt>
                <c:pt idx="6">
                  <c:v>Gestionnaire</c:v>
                </c:pt>
                <c:pt idx="7">
                  <c:v>Plus values territoire</c:v>
                </c:pt>
                <c:pt idx="8">
                  <c:v>Plus values perso</c:v>
                </c:pt>
              </c:strCache>
            </c:strRef>
          </c:cat>
          <c:val>
            <c:numRef>
              <c:f>'Graphs Interet'!$C$13:$K$13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5-4749-9233-6D6E040D0A1A}"/>
            </c:ext>
          </c:extLst>
        </c:ser>
        <c:ser>
          <c:idx val="1"/>
          <c:order val="1"/>
          <c:tx>
            <c:strRef>
              <c:f>'Graphs Interet'!$B$14</c:f>
              <c:strCache>
                <c:ptCount val="1"/>
                <c:pt idx="0">
                  <c:v>MEDIANE Groupe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'Graphs Interet'!$C$12:$K$12</c:f>
              <c:strCache>
                <c:ptCount val="9"/>
                <c:pt idx="0">
                  <c:v>Fréquence visites</c:v>
                </c:pt>
                <c:pt idx="1">
                  <c:v>Animations avis</c:v>
                </c:pt>
                <c:pt idx="2">
                  <c:v>Règlementation acceptée</c:v>
                </c:pt>
                <c:pt idx="3">
                  <c:v>Importance</c:v>
                </c:pt>
                <c:pt idx="4">
                  <c:v>Efficacité</c:v>
                </c:pt>
                <c:pt idx="5">
                  <c:v>Gestion</c:v>
                </c:pt>
                <c:pt idx="6">
                  <c:v>Gestionnaire</c:v>
                </c:pt>
                <c:pt idx="7">
                  <c:v>Plus values territoire</c:v>
                </c:pt>
                <c:pt idx="8">
                  <c:v>Plus values perso</c:v>
                </c:pt>
              </c:strCache>
            </c:strRef>
          </c:cat>
          <c:val>
            <c:numRef>
              <c:f>'Graphs Interet'!$C$14:$K$14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5-4749-9233-6D6E040D0A1A}"/>
            </c:ext>
          </c:extLst>
        </c:ser>
        <c:ser>
          <c:idx val="2"/>
          <c:order val="2"/>
          <c:tx>
            <c:strRef>
              <c:f>'Graphs Interet'!$B$15</c:f>
              <c:strCache>
                <c:ptCount val="1"/>
                <c:pt idx="0">
                  <c:v>MEDIANE Groupe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'Graphs Interet'!$C$12:$K$12</c:f>
              <c:strCache>
                <c:ptCount val="9"/>
                <c:pt idx="0">
                  <c:v>Fréquence visites</c:v>
                </c:pt>
                <c:pt idx="1">
                  <c:v>Animations avis</c:v>
                </c:pt>
                <c:pt idx="2">
                  <c:v>Règlementation acceptée</c:v>
                </c:pt>
                <c:pt idx="3">
                  <c:v>Importance</c:v>
                </c:pt>
                <c:pt idx="4">
                  <c:v>Efficacité</c:v>
                </c:pt>
                <c:pt idx="5">
                  <c:v>Gestion</c:v>
                </c:pt>
                <c:pt idx="6">
                  <c:v>Gestionnaire</c:v>
                </c:pt>
                <c:pt idx="7">
                  <c:v>Plus values territoire</c:v>
                </c:pt>
                <c:pt idx="8">
                  <c:v>Plus values perso</c:v>
                </c:pt>
              </c:strCache>
            </c:strRef>
          </c:cat>
          <c:val>
            <c:numRef>
              <c:f>'Graphs Interet'!$C$15:$K$15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5-4749-9233-6D6E040D0A1A}"/>
            </c:ext>
          </c:extLst>
        </c:ser>
        <c:ser>
          <c:idx val="3"/>
          <c:order val="3"/>
          <c:tx>
            <c:strRef>
              <c:f>'Graphs Interet'!$B$16</c:f>
              <c:strCache>
                <c:ptCount val="1"/>
                <c:pt idx="0">
                  <c:v>MEDIANE Groupe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'Graphs Interet'!$C$12:$K$12</c:f>
              <c:strCache>
                <c:ptCount val="9"/>
                <c:pt idx="0">
                  <c:v>Fréquence visites</c:v>
                </c:pt>
                <c:pt idx="1">
                  <c:v>Animations avis</c:v>
                </c:pt>
                <c:pt idx="2">
                  <c:v>Règlementation acceptée</c:v>
                </c:pt>
                <c:pt idx="3">
                  <c:v>Importance</c:v>
                </c:pt>
                <c:pt idx="4">
                  <c:v>Efficacité</c:v>
                </c:pt>
                <c:pt idx="5">
                  <c:v>Gestion</c:v>
                </c:pt>
                <c:pt idx="6">
                  <c:v>Gestionnaire</c:v>
                </c:pt>
                <c:pt idx="7">
                  <c:v>Plus values territoire</c:v>
                </c:pt>
                <c:pt idx="8">
                  <c:v>Plus values perso</c:v>
                </c:pt>
              </c:strCache>
            </c:strRef>
          </c:cat>
          <c:val>
            <c:numRef>
              <c:f>'Graphs Interet'!$C$16:$K$16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85-4749-9233-6D6E040D0A1A}"/>
            </c:ext>
          </c:extLst>
        </c:ser>
        <c:ser>
          <c:idx val="4"/>
          <c:order val="4"/>
          <c:tx>
            <c:strRef>
              <c:f>'Graphs Interet'!$B$17</c:f>
              <c:strCache>
                <c:ptCount val="1"/>
                <c:pt idx="0">
                  <c:v>MEDIANE Groupe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'Graphs Interet'!$C$12:$K$12</c:f>
              <c:strCache>
                <c:ptCount val="9"/>
                <c:pt idx="0">
                  <c:v>Fréquence visites</c:v>
                </c:pt>
                <c:pt idx="1">
                  <c:v>Animations avis</c:v>
                </c:pt>
                <c:pt idx="2">
                  <c:v>Règlementation acceptée</c:v>
                </c:pt>
                <c:pt idx="3">
                  <c:v>Importance</c:v>
                </c:pt>
                <c:pt idx="4">
                  <c:v>Efficacité</c:v>
                </c:pt>
                <c:pt idx="5">
                  <c:v>Gestion</c:v>
                </c:pt>
                <c:pt idx="6">
                  <c:v>Gestionnaire</c:v>
                </c:pt>
                <c:pt idx="7">
                  <c:v>Plus values territoire</c:v>
                </c:pt>
                <c:pt idx="8">
                  <c:v>Plus values perso</c:v>
                </c:pt>
              </c:strCache>
            </c:strRef>
          </c:cat>
          <c:val>
            <c:numRef>
              <c:f>'Graphs Interet'!$C$17:$K$17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5-4749-9233-6D6E040D0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103743"/>
        <c:axId val="1936101663"/>
      </c:radarChart>
      <c:catAx>
        <c:axId val="193610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6101663"/>
        <c:crosses val="autoZero"/>
        <c:auto val="1"/>
        <c:lblAlgn val="ctr"/>
        <c:lblOffset val="100"/>
        <c:noMultiLvlLbl val="0"/>
      </c:catAx>
      <c:valAx>
        <c:axId val="1936101663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610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31124234470693"/>
          <c:y val="0.15280952380952384"/>
          <c:w val="0.79537729658792655"/>
          <c:h val="0.15357255343082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Indicateur : état</a:t>
            </a:r>
            <a:r>
              <a:rPr lang="fr-FR" sz="1400" b="0" i="0" baseline="0">
                <a:solidFill>
                  <a:srgbClr val="757575"/>
                </a:solidFill>
                <a:latin typeface="+mn-lt"/>
              </a:rPr>
              <a:t> d'</a:t>
            </a:r>
            <a:r>
              <a:rPr lang="fr-FR" sz="1400" b="0" i="0">
                <a:solidFill>
                  <a:srgbClr val="757575"/>
                </a:solidFill>
                <a:latin typeface="+mn-lt"/>
              </a:rPr>
              <a:t>implication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'Graphs Implication'!$B$13</c:f>
              <c:strCache>
                <c:ptCount val="1"/>
                <c:pt idx="0">
                  <c:v>MEDIANE Groupe 1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'Graphs Implication'!$C$3:$G$3</c:f>
              <c:strCache>
                <c:ptCount val="5"/>
                <c:pt idx="0">
                  <c:v>Nature des liens</c:v>
                </c:pt>
                <c:pt idx="1">
                  <c:v>Importance des liens</c:v>
                </c:pt>
                <c:pt idx="2">
                  <c:v>Participation animations</c:v>
                </c:pt>
                <c:pt idx="3">
                  <c:v>Impression d'être consulté</c:v>
                </c:pt>
                <c:pt idx="4">
                  <c:v>Qualité des échanges</c:v>
                </c:pt>
              </c:strCache>
            </c:strRef>
          </c:cat>
          <c:val>
            <c:numRef>
              <c:f>'Graphs Implication'!$C$13:$G$13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D-4F8E-8147-B0C5E9E258C8}"/>
            </c:ext>
          </c:extLst>
        </c:ser>
        <c:ser>
          <c:idx val="1"/>
          <c:order val="1"/>
          <c:tx>
            <c:strRef>
              <c:f>'Graphs Implication'!$B$14</c:f>
              <c:strCache>
                <c:ptCount val="1"/>
                <c:pt idx="0">
                  <c:v>MEDIANE Groupe 2</c:v>
                </c:pt>
              </c:strCache>
            </c:strRef>
          </c:tx>
          <c:marker>
            <c:symbol val="none"/>
          </c:marker>
          <c:cat>
            <c:strRef>
              <c:f>'Graphs Implication'!$C$3:$G$3</c:f>
              <c:strCache>
                <c:ptCount val="5"/>
                <c:pt idx="0">
                  <c:v>Nature des liens</c:v>
                </c:pt>
                <c:pt idx="1">
                  <c:v>Importance des liens</c:v>
                </c:pt>
                <c:pt idx="2">
                  <c:v>Participation animations</c:v>
                </c:pt>
                <c:pt idx="3">
                  <c:v>Impression d'être consulté</c:v>
                </c:pt>
                <c:pt idx="4">
                  <c:v>Qualité des échanges</c:v>
                </c:pt>
              </c:strCache>
            </c:strRef>
          </c:cat>
          <c:val>
            <c:numRef>
              <c:f>'Graphs Implication'!$C$14:$G$14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9-4DA2-BB67-FE6F290A799D}"/>
            </c:ext>
          </c:extLst>
        </c:ser>
        <c:ser>
          <c:idx val="2"/>
          <c:order val="2"/>
          <c:tx>
            <c:strRef>
              <c:f>'Graphs Implication'!$B$15</c:f>
              <c:strCache>
                <c:ptCount val="1"/>
                <c:pt idx="0">
                  <c:v>MEDIANE Groupe 3</c:v>
                </c:pt>
              </c:strCache>
            </c:strRef>
          </c:tx>
          <c:marker>
            <c:symbol val="none"/>
          </c:marker>
          <c:cat>
            <c:strRef>
              <c:f>'Graphs Implication'!$C$3:$G$3</c:f>
              <c:strCache>
                <c:ptCount val="5"/>
                <c:pt idx="0">
                  <c:v>Nature des liens</c:v>
                </c:pt>
                <c:pt idx="1">
                  <c:v>Importance des liens</c:v>
                </c:pt>
                <c:pt idx="2">
                  <c:v>Participation animations</c:v>
                </c:pt>
                <c:pt idx="3">
                  <c:v>Impression d'être consulté</c:v>
                </c:pt>
                <c:pt idx="4">
                  <c:v>Qualité des échanges</c:v>
                </c:pt>
              </c:strCache>
            </c:strRef>
          </c:cat>
          <c:val>
            <c:numRef>
              <c:f>'Graphs Implication'!$C$15:$G$15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9-4DA2-BB67-FE6F290A799D}"/>
            </c:ext>
          </c:extLst>
        </c:ser>
        <c:ser>
          <c:idx val="3"/>
          <c:order val="3"/>
          <c:tx>
            <c:strRef>
              <c:f>'Graphs Implication'!$B$16</c:f>
              <c:strCache>
                <c:ptCount val="1"/>
                <c:pt idx="0">
                  <c:v>MEDIANE Groupe 4</c:v>
                </c:pt>
              </c:strCache>
            </c:strRef>
          </c:tx>
          <c:marker>
            <c:symbol val="none"/>
          </c:marker>
          <c:cat>
            <c:strRef>
              <c:f>'Graphs Implication'!$C$3:$G$3</c:f>
              <c:strCache>
                <c:ptCount val="5"/>
                <c:pt idx="0">
                  <c:v>Nature des liens</c:v>
                </c:pt>
                <c:pt idx="1">
                  <c:v>Importance des liens</c:v>
                </c:pt>
                <c:pt idx="2">
                  <c:v>Participation animations</c:v>
                </c:pt>
                <c:pt idx="3">
                  <c:v>Impression d'être consulté</c:v>
                </c:pt>
                <c:pt idx="4">
                  <c:v>Qualité des échanges</c:v>
                </c:pt>
              </c:strCache>
            </c:strRef>
          </c:cat>
          <c:val>
            <c:numRef>
              <c:f>'Graphs Implication'!$C$16:$G$16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9-4DA2-BB67-FE6F290A799D}"/>
            </c:ext>
          </c:extLst>
        </c:ser>
        <c:ser>
          <c:idx val="4"/>
          <c:order val="4"/>
          <c:tx>
            <c:strRef>
              <c:f>'Graphs Implication'!$B$17</c:f>
              <c:strCache>
                <c:ptCount val="1"/>
                <c:pt idx="0">
                  <c:v>MEDIANE Groupe 5</c:v>
                </c:pt>
              </c:strCache>
            </c:strRef>
          </c:tx>
          <c:marker>
            <c:symbol val="none"/>
          </c:marker>
          <c:cat>
            <c:strRef>
              <c:f>'Graphs Implication'!$C$3:$G$3</c:f>
              <c:strCache>
                <c:ptCount val="5"/>
                <c:pt idx="0">
                  <c:v>Nature des liens</c:v>
                </c:pt>
                <c:pt idx="1">
                  <c:v>Importance des liens</c:v>
                </c:pt>
                <c:pt idx="2">
                  <c:v>Participation animations</c:v>
                </c:pt>
                <c:pt idx="3">
                  <c:v>Impression d'être consulté</c:v>
                </c:pt>
                <c:pt idx="4">
                  <c:v>Qualité des échanges</c:v>
                </c:pt>
              </c:strCache>
            </c:strRef>
          </c:cat>
          <c:val>
            <c:numRef>
              <c:f>'Graphs Implication'!$C$17:$G$17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C9-4DA2-BB67-FE6F290A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939520"/>
        <c:axId val="138694540"/>
      </c:radarChart>
      <c:catAx>
        <c:axId val="199093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8694540"/>
        <c:crosses val="autoZero"/>
        <c:auto val="1"/>
        <c:lblAlgn val="ctr"/>
        <c:lblOffset val="100"/>
        <c:noMultiLvlLbl val="1"/>
      </c:catAx>
      <c:valAx>
        <c:axId val="138694540"/>
        <c:scaling>
          <c:orientation val="minMax"/>
          <c:max val="5"/>
          <c:min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90939520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Nature des liens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'Graphs Implication'!$B$13:$B$18</c:f>
              <c:strCache>
                <c:ptCount val="6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  <c:pt idx="5">
                  <c:v>MEDIANE Tous acteurs</c:v>
                </c:pt>
              </c:strCache>
            </c:strRef>
          </c:cat>
          <c:val>
            <c:numRef>
              <c:f>'Graphs Implication'!$C$13:$C$18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AE-4C25-9A61-621499E9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413081"/>
        <c:axId val="1275695772"/>
      </c:barChart>
      <c:catAx>
        <c:axId val="528413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75695772"/>
        <c:crosses val="autoZero"/>
        <c:auto val="1"/>
        <c:lblAlgn val="ctr"/>
        <c:lblOffset val="100"/>
        <c:noMultiLvlLbl val="1"/>
      </c:catAx>
      <c:valAx>
        <c:axId val="1275695772"/>
        <c:scaling>
          <c:orientation val="minMax"/>
          <c:max val="5"/>
          <c:min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28413081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Participation animations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'Graphs Implication'!$B$13:$B$18</c:f>
              <c:strCache>
                <c:ptCount val="6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  <c:pt idx="5">
                  <c:v>MEDIANE Tous acteurs</c:v>
                </c:pt>
              </c:strCache>
            </c:strRef>
          </c:cat>
          <c:val>
            <c:numRef>
              <c:f>'Graphs Implication'!$D$13:$D$18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9F-421C-9945-CDC573D9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127353"/>
        <c:axId val="569183871"/>
      </c:barChart>
      <c:catAx>
        <c:axId val="1707127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69183871"/>
        <c:crosses val="autoZero"/>
        <c:auto val="1"/>
        <c:lblAlgn val="ctr"/>
        <c:lblOffset val="100"/>
        <c:noMultiLvlLbl val="1"/>
      </c:catAx>
      <c:valAx>
        <c:axId val="569183871"/>
        <c:scaling>
          <c:orientation val="minMax"/>
          <c:max val="5"/>
          <c:min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07127353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Ecoute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'Graphs Implication'!$B$13:$B$18</c:f>
              <c:strCache>
                <c:ptCount val="6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  <c:pt idx="5">
                  <c:v>MEDIANE Tous acteurs</c:v>
                </c:pt>
              </c:strCache>
            </c:strRef>
          </c:cat>
          <c:val>
            <c:numRef>
              <c:f>'Graphs Implication'!$E$13:$E$18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55-402E-8C9A-D5EE089FC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525188"/>
        <c:axId val="637704402"/>
      </c:barChart>
      <c:catAx>
        <c:axId val="481525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37704402"/>
        <c:crosses val="autoZero"/>
        <c:auto val="1"/>
        <c:lblAlgn val="ctr"/>
        <c:lblOffset val="100"/>
        <c:noMultiLvlLbl val="1"/>
      </c:catAx>
      <c:valAx>
        <c:axId val="637704402"/>
        <c:scaling>
          <c:orientation val="minMax"/>
          <c:max val="5"/>
          <c:min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81525188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Implication'!$F$12</c:f>
              <c:strCache>
                <c:ptCount val="1"/>
                <c:pt idx="0">
                  <c:v>Echanges</c:v>
                </c:pt>
              </c:strCache>
            </c:strRef>
          </c:tx>
          <c:invertIfNegative val="1"/>
          <c:cat>
            <c:strRef>
              <c:f>'Graphs Implication'!$B$13:$B$18</c:f>
              <c:strCache>
                <c:ptCount val="6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  <c:pt idx="5">
                  <c:v>MEDIANE Tous acteurs</c:v>
                </c:pt>
              </c:strCache>
            </c:strRef>
          </c:cat>
          <c:val>
            <c:numRef>
              <c:f>'Graphs Implication'!$F$13:$F$18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4-46C0-975C-23FED87F0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4645523"/>
        <c:axId val="1571204884"/>
      </c:barChart>
      <c:catAx>
        <c:axId val="754645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71204884"/>
        <c:crosses val="autoZero"/>
        <c:auto val="1"/>
        <c:lblAlgn val="ctr"/>
        <c:lblOffset val="100"/>
        <c:noMultiLvlLbl val="1"/>
      </c:catAx>
      <c:valAx>
        <c:axId val="1571204884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54645523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Implication'!$G$12</c:f>
              <c:strCache>
                <c:ptCount val="1"/>
                <c:pt idx="0">
                  <c:v>Evolution échanges</c:v>
                </c:pt>
              </c:strCache>
            </c:strRef>
          </c:tx>
          <c:invertIfNegative val="1"/>
          <c:cat>
            <c:strRef>
              <c:f>'Graphs Implication'!$B$13:$B$18</c:f>
              <c:strCache>
                <c:ptCount val="6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  <c:pt idx="5">
                  <c:v>MEDIANE Tous acteurs</c:v>
                </c:pt>
              </c:strCache>
            </c:strRef>
          </c:cat>
          <c:val>
            <c:numRef>
              <c:f>'Graphs Implication'!$G$13:$G$18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C-495F-B212-4324C7C92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5068515"/>
        <c:axId val="639315729"/>
      </c:barChart>
      <c:catAx>
        <c:axId val="1665068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39315729"/>
        <c:crosses val="autoZero"/>
        <c:auto val="1"/>
        <c:lblAlgn val="ctr"/>
        <c:lblOffset val="100"/>
        <c:noMultiLvlLbl val="1"/>
      </c:catAx>
      <c:valAx>
        <c:axId val="639315729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665068515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Implication'!$C$60</c:f>
              <c:strCache>
                <c:ptCount val="1"/>
                <c:pt idx="0">
                  <c:v>Nature des liens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D57-4C11-A39E-385DBA647C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4D57-4C11-A39E-385DBA647C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4D57-4C11-A39E-385DBA647C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4D57-4C11-A39E-385DBA647C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4D57-4C11-A39E-385DBA647C76}"/>
              </c:ext>
            </c:extLst>
          </c:dPt>
          <c:cat>
            <c:strRef>
              <c:f>'Graphs Implication'!$B$61:$B$65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Implication'!$C$61:$C$65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57-4C11-A39E-385DBA647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Implication'!$D$60</c:f>
              <c:strCache>
                <c:ptCount val="1"/>
                <c:pt idx="0">
                  <c:v>Participation animations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48B-479B-B978-22AE346E0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48B-479B-B978-22AE346E0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F48B-479B-B978-22AE346E0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F48B-479B-B978-22AE346E06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F48B-479B-B978-22AE346E06EC}"/>
              </c:ext>
            </c:extLst>
          </c:dPt>
          <c:cat>
            <c:strRef>
              <c:f>'Graphs Implication'!$B$61:$B$65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Implication'!$D$61:$D$65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8B-479B-B978-22AE346E0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Implication'!$E$60</c:f>
              <c:strCache>
                <c:ptCount val="1"/>
                <c:pt idx="0">
                  <c:v>Ecoute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93F-4C43-9624-AE366C5092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493F-4C43-9624-AE366C5092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493F-4C43-9624-AE366C5092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493F-4C43-9624-AE366C5092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493F-4C43-9624-AE366C509248}"/>
              </c:ext>
            </c:extLst>
          </c:dPt>
          <c:cat>
            <c:strRef>
              <c:f>'Graphs Implication'!$B$61:$B$65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Implication'!$E$61:$E$65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3F-4C43-9624-AE366C509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Implication'!$F$60</c:f>
              <c:strCache>
                <c:ptCount val="1"/>
                <c:pt idx="0">
                  <c:v>Echanges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106-47F3-AC01-51FB198DA3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B106-47F3-AC01-51FB198DA3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B106-47F3-AC01-51FB198DA3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B106-47F3-AC01-51FB198DA3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B106-47F3-AC01-51FB198DA3E5}"/>
              </c:ext>
            </c:extLst>
          </c:dPt>
          <c:cat>
            <c:strRef>
              <c:f>'Graphs Implication'!$B$61:$B$65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Implication'!$F$61:$F$65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06-47F3-AC01-51FB198D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'Graphs Implication'!$G$60</c:f>
              <c:strCache>
                <c:ptCount val="1"/>
                <c:pt idx="0">
                  <c:v>Evolution échanges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733-4D7A-B025-21E50EE337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733-4D7A-B025-21E50EE337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733-4D7A-B025-21E50EE337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733-4D7A-B025-21E50EE337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733-4D7A-B025-21E50EE33717}"/>
              </c:ext>
            </c:extLst>
          </c:dPt>
          <c:cat>
            <c:strRef>
              <c:f>'Graphs Implication'!$B$61:$B$65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'Graphs Implication'!$G$61:$G$65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33-4D7A-B025-21E50EE33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Forces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AFOM!$B$3:$B$11</c:f>
              <c:strCache>
                <c:ptCount val="5"/>
                <c:pt idx="0">
                  <c:v>passion</c:v>
                </c:pt>
                <c:pt idx="1">
                  <c:v>dynamisme</c:v>
                </c:pt>
                <c:pt idx="2">
                  <c:v>ecoute</c:v>
                </c:pt>
                <c:pt idx="3">
                  <c:v>animations</c:v>
                </c:pt>
                <c:pt idx="4">
                  <c:v>…</c:v>
                </c:pt>
              </c:strCache>
            </c:strRef>
          </c:cat>
          <c:val>
            <c:numRef>
              <c:f>AFOM!$C$3:$C$11</c:f>
              <c:numCache>
                <c:formatCode>0</c:formatCode>
                <c:ptCount val="9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EF-4B64-BB7C-3F90DAAB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193079"/>
        <c:axId val="527983936"/>
      </c:barChart>
      <c:catAx>
        <c:axId val="786193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27983936"/>
        <c:crosses val="autoZero"/>
        <c:auto val="1"/>
        <c:lblAlgn val="ctr"/>
        <c:lblOffset val="100"/>
        <c:noMultiLvlLbl val="1"/>
      </c:catAx>
      <c:valAx>
        <c:axId val="527983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8619307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Opportunités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AFOM!$B$13:$B$21</c:f>
              <c:strCache>
                <c:ptCount val="2"/>
                <c:pt idx="0">
                  <c:v>patrenariat CommComm</c:v>
                </c:pt>
                <c:pt idx="1">
                  <c:v>…</c:v>
                </c:pt>
              </c:strCache>
            </c:strRef>
          </c:cat>
          <c:val>
            <c:numRef>
              <c:f>AFOM!$C$13:$C$21</c:f>
              <c:numCache>
                <c:formatCode>0</c:formatCode>
                <c:ptCount val="9"/>
                <c:pt idx="0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E6-4AAF-8D80-237F420CD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776854"/>
        <c:axId val="982227815"/>
      </c:barChart>
      <c:catAx>
        <c:axId val="704776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82227815"/>
        <c:crosses val="autoZero"/>
        <c:auto val="1"/>
        <c:lblAlgn val="ctr"/>
        <c:lblOffset val="100"/>
        <c:noMultiLvlLbl val="1"/>
      </c:catAx>
      <c:valAx>
        <c:axId val="982227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0477685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Faiblesse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AFOM!$D$3:$D$11</c:f>
              <c:strCache>
                <c:ptCount val="2"/>
                <c:pt idx="0">
                  <c:v>communication</c:v>
                </c:pt>
                <c:pt idx="1">
                  <c:v>…</c:v>
                </c:pt>
              </c:strCache>
            </c:strRef>
          </c:cat>
          <c:val>
            <c:numRef>
              <c:f>AFOM!$E$3:$E$11</c:f>
              <c:numCache>
                <c:formatCode>0</c:formatCode>
                <c:ptCount val="9"/>
                <c:pt idx="0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34-47F6-B1BC-918C1DA0D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086112"/>
        <c:axId val="198957795"/>
      </c:barChart>
      <c:catAx>
        <c:axId val="44308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8957795"/>
        <c:crosses val="autoZero"/>
        <c:auto val="1"/>
        <c:lblAlgn val="ctr"/>
        <c:lblOffset val="100"/>
        <c:noMultiLvlLbl val="1"/>
      </c:catAx>
      <c:valAx>
        <c:axId val="198957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43086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Menaces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AFOM!$D$13:$D$21</c:f>
              <c:strCache>
                <c:ptCount val="2"/>
                <c:pt idx="0">
                  <c:v>Montée des eaux</c:v>
                </c:pt>
                <c:pt idx="1">
                  <c:v>…</c:v>
                </c:pt>
              </c:strCache>
            </c:strRef>
          </c:cat>
          <c:val>
            <c:numRef>
              <c:f>AFOM!$E$13:$E$21</c:f>
              <c:numCache>
                <c:formatCode>0</c:formatCode>
                <c:ptCount val="9"/>
                <c:pt idx="0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30-40A6-A96C-AA86D8E4E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130114"/>
        <c:axId val="343251598"/>
      </c:barChart>
      <c:catAx>
        <c:axId val="50513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43251598"/>
        <c:crosses val="autoZero"/>
        <c:auto val="1"/>
        <c:lblAlgn val="ctr"/>
        <c:lblOffset val="100"/>
        <c:noMultiLvlLbl val="1"/>
      </c:catAx>
      <c:valAx>
        <c:axId val="343251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0513011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CCG!$B$12</c:f>
              <c:strCache>
                <c:ptCount val="1"/>
                <c:pt idx="0">
                  <c:v>Tout à fait</c:v>
                </c:pt>
              </c:strCache>
            </c:strRef>
          </c:tx>
          <c:invertIfNegative val="1"/>
          <c:cat>
            <c:strRef>
              <c:f>CCG!$A$13:$A$17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CCG!$B$13:$B$17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6-4F22-9FFA-8DAD133F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2067110"/>
        <c:axId val="1414321163"/>
      </c:barChart>
      <c:catAx>
        <c:axId val="1182067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14321163"/>
        <c:crosses val="autoZero"/>
        <c:auto val="1"/>
        <c:lblAlgn val="ctr"/>
        <c:lblOffset val="100"/>
        <c:noMultiLvlLbl val="1"/>
      </c:catAx>
      <c:valAx>
        <c:axId val="1414321163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182067110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CCG!$C$12</c:f>
              <c:strCache>
                <c:ptCount val="1"/>
                <c:pt idx="0">
                  <c:v>Efficace et légitime</c:v>
                </c:pt>
              </c:strCache>
            </c:strRef>
          </c:tx>
          <c:invertIfNegative val="1"/>
          <c:cat>
            <c:strRef>
              <c:f>CCG!$A$13:$A$17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CCG!$C$13:$C$17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4-4C41-B11B-819025511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7957"/>
        <c:axId val="1378053704"/>
      </c:barChart>
      <c:catAx>
        <c:axId val="707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78053704"/>
        <c:crosses val="autoZero"/>
        <c:auto val="1"/>
        <c:lblAlgn val="ctr"/>
        <c:lblOffset val="100"/>
        <c:noMultiLvlLbl val="1"/>
      </c:catAx>
      <c:valAx>
        <c:axId val="1378053704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07957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CCG!$D$12</c:f>
              <c:strCache>
                <c:ptCount val="1"/>
                <c:pt idx="0">
                  <c:v>Toujours</c:v>
                </c:pt>
              </c:strCache>
            </c:strRef>
          </c:tx>
          <c:invertIfNegative val="1"/>
          <c:cat>
            <c:strRef>
              <c:f>CCG!$A$13:$A$17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CCG!$D$13:$D$17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0-4445-8105-D1368F4D0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369633"/>
        <c:axId val="490347055"/>
      </c:barChart>
      <c:catAx>
        <c:axId val="806369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90347055"/>
        <c:crosses val="autoZero"/>
        <c:auto val="1"/>
        <c:lblAlgn val="ctr"/>
        <c:lblOffset val="100"/>
        <c:noMultiLvlLbl val="1"/>
      </c:catAx>
      <c:valAx>
        <c:axId val="490347055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806369633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CCG!$E$12</c:f>
              <c:strCache>
                <c:ptCount val="1"/>
                <c:pt idx="0">
                  <c:v>4x ou &gt; sur les 5 dernières années</c:v>
                </c:pt>
              </c:strCache>
            </c:strRef>
          </c:tx>
          <c:invertIfNegative val="1"/>
          <c:cat>
            <c:strRef>
              <c:f>CCG!$A$13:$A$17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CCG!$E$13:$E$17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7-45A4-BF20-9B2035FB4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113591"/>
        <c:axId val="1961033529"/>
      </c:barChart>
      <c:catAx>
        <c:axId val="1152113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61033529"/>
        <c:crosses val="autoZero"/>
        <c:auto val="1"/>
        <c:lblAlgn val="ctr"/>
        <c:lblOffset val="100"/>
        <c:noMultiLvlLbl val="1"/>
      </c:catAx>
      <c:valAx>
        <c:axId val="1961033529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152113591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CCG!$B$60</c:f>
              <c:strCache>
                <c:ptCount val="1"/>
                <c:pt idx="0">
                  <c:v>Implication CCG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923-4CFD-8D3C-26BF4B7275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923-4CFD-8D3C-26BF4B7275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F923-4CFD-8D3C-26BF4B7275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F923-4CFD-8D3C-26BF4B7275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F923-4CFD-8D3C-26BF4B727558}"/>
              </c:ext>
            </c:extLst>
          </c:dPt>
          <c:val>
            <c:numRef>
              <c:f>CCG!$B$61:$B$65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23-4CFD-8D3C-26BF4B72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CCG!$C$60</c:f>
              <c:strCache>
                <c:ptCount val="1"/>
                <c:pt idx="0">
                  <c:v>Avis CCG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98D-43BE-A9DB-F645664AC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B98D-43BE-A9DB-F645664AC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B98D-43BE-A9DB-F645664AC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B98D-43BE-A9DB-F645664AC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B98D-43BE-A9DB-F645664AC387}"/>
              </c:ext>
            </c:extLst>
          </c:dPt>
          <c:val>
            <c:numRef>
              <c:f>CCG!$C$61:$C$65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8D-43BE-A9DB-F645664AC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CCG!$D$60</c:f>
              <c:strCache>
                <c:ptCount val="1"/>
                <c:pt idx="0">
                  <c:v>Interventions CCG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6677-4C37-BDBE-7D897815AC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6677-4C37-BDBE-7D897815AC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6677-4C37-BDBE-7D897815A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6677-4C37-BDBE-7D897815A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6677-4C37-BDBE-7D897815ACF0}"/>
              </c:ext>
            </c:extLst>
          </c:dPt>
          <c:val>
            <c:numRef>
              <c:f>CCG!$D$61:$D$65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77-4C37-BDBE-7D897815A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CCG!$E$60</c:f>
              <c:strCache>
                <c:ptCount val="1"/>
                <c:pt idx="0">
                  <c:v>Participation CCG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009-49F7-AE85-CAAC8DFAF0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0009-49F7-AE85-CAAC8DFAF0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0009-49F7-AE85-CAAC8DFAF0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0009-49F7-AE85-CAAC8DFAF0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0009-49F7-AE85-CAAC8DFAF03A}"/>
              </c:ext>
            </c:extLst>
          </c:dPt>
          <c:val>
            <c:numRef>
              <c:f>CCG!$E$61:$E$65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09-49F7-AE85-CAAC8DFAF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Etat</a:t>
            </a:r>
            <a:r>
              <a:rPr lang="fr-FR" baseline="0"/>
              <a:t> des perceptions liées au Comité de gestion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CCG!$A$13</c:f>
              <c:strCache>
                <c:ptCount val="1"/>
                <c:pt idx="0">
                  <c:v>MEDIANE Groupe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CCG!$B$4:$E$4</c:f>
              <c:strCache>
                <c:ptCount val="4"/>
                <c:pt idx="0">
                  <c:v>Implication CCG</c:v>
                </c:pt>
                <c:pt idx="1">
                  <c:v>Avis CCG</c:v>
                </c:pt>
                <c:pt idx="2">
                  <c:v>Interventions CCG</c:v>
                </c:pt>
                <c:pt idx="3">
                  <c:v>Participation CCG</c:v>
                </c:pt>
              </c:strCache>
            </c:strRef>
          </c:cat>
          <c:val>
            <c:numRef>
              <c:f>CCG!$B$13:$E$13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6-4EDA-B7AD-233DC379E2BF}"/>
            </c:ext>
          </c:extLst>
        </c:ser>
        <c:ser>
          <c:idx val="1"/>
          <c:order val="1"/>
          <c:tx>
            <c:strRef>
              <c:f>CCG!$A$14</c:f>
              <c:strCache>
                <c:ptCount val="1"/>
                <c:pt idx="0">
                  <c:v>MEDIANE Groupe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CCG!$B$4:$E$4</c:f>
              <c:strCache>
                <c:ptCount val="4"/>
                <c:pt idx="0">
                  <c:v>Implication CCG</c:v>
                </c:pt>
                <c:pt idx="1">
                  <c:v>Avis CCG</c:v>
                </c:pt>
                <c:pt idx="2">
                  <c:v>Interventions CCG</c:v>
                </c:pt>
                <c:pt idx="3">
                  <c:v>Participation CCG</c:v>
                </c:pt>
              </c:strCache>
            </c:strRef>
          </c:cat>
          <c:val>
            <c:numRef>
              <c:f>CCG!$B$14:$E$14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6-4EDA-B7AD-233DC379E2BF}"/>
            </c:ext>
          </c:extLst>
        </c:ser>
        <c:ser>
          <c:idx val="2"/>
          <c:order val="2"/>
          <c:tx>
            <c:strRef>
              <c:f>CCG!$A$15</c:f>
              <c:strCache>
                <c:ptCount val="1"/>
                <c:pt idx="0">
                  <c:v>MEDIANE Groupe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CCG!$B$4:$E$4</c:f>
              <c:strCache>
                <c:ptCount val="4"/>
                <c:pt idx="0">
                  <c:v>Implication CCG</c:v>
                </c:pt>
                <c:pt idx="1">
                  <c:v>Avis CCG</c:v>
                </c:pt>
                <c:pt idx="2">
                  <c:v>Interventions CCG</c:v>
                </c:pt>
                <c:pt idx="3">
                  <c:v>Participation CCG</c:v>
                </c:pt>
              </c:strCache>
            </c:strRef>
          </c:cat>
          <c:val>
            <c:numRef>
              <c:f>CCG!$B$15:$E$15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6-4EDA-B7AD-233DC379E2BF}"/>
            </c:ext>
          </c:extLst>
        </c:ser>
        <c:ser>
          <c:idx val="3"/>
          <c:order val="3"/>
          <c:tx>
            <c:strRef>
              <c:f>CCG!$A$16</c:f>
              <c:strCache>
                <c:ptCount val="1"/>
                <c:pt idx="0">
                  <c:v>MEDIANE Groupe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CCG!$B$4:$E$4</c:f>
              <c:strCache>
                <c:ptCount val="4"/>
                <c:pt idx="0">
                  <c:v>Implication CCG</c:v>
                </c:pt>
                <c:pt idx="1">
                  <c:v>Avis CCG</c:v>
                </c:pt>
                <c:pt idx="2">
                  <c:v>Interventions CCG</c:v>
                </c:pt>
                <c:pt idx="3">
                  <c:v>Participation CCG</c:v>
                </c:pt>
              </c:strCache>
            </c:strRef>
          </c:cat>
          <c:val>
            <c:numRef>
              <c:f>CCG!$B$16:$E$16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96-4EDA-B7AD-233DC379E2BF}"/>
            </c:ext>
          </c:extLst>
        </c:ser>
        <c:ser>
          <c:idx val="4"/>
          <c:order val="4"/>
          <c:tx>
            <c:strRef>
              <c:f>CCG!$A$17</c:f>
              <c:strCache>
                <c:ptCount val="1"/>
                <c:pt idx="0">
                  <c:v>MEDIANE Groupe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CCG!$B$4:$E$4</c:f>
              <c:strCache>
                <c:ptCount val="4"/>
                <c:pt idx="0">
                  <c:v>Implication CCG</c:v>
                </c:pt>
                <c:pt idx="1">
                  <c:v>Avis CCG</c:v>
                </c:pt>
                <c:pt idx="2">
                  <c:v>Interventions CCG</c:v>
                </c:pt>
                <c:pt idx="3">
                  <c:v>Participation CCG</c:v>
                </c:pt>
              </c:strCache>
            </c:strRef>
          </c:cat>
          <c:val>
            <c:numRef>
              <c:f>CCG!$B$17:$E$17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6-4EDA-B7AD-233DC379E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76575"/>
        <c:axId val="272968671"/>
      </c:radarChart>
      <c:catAx>
        <c:axId val="27297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2968671"/>
        <c:crosses val="autoZero"/>
        <c:auto val="1"/>
        <c:lblAlgn val="ctr"/>
        <c:lblOffset val="100"/>
        <c:noMultiLvlLbl val="0"/>
      </c:catAx>
      <c:valAx>
        <c:axId val="272968671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297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Conclusion!$A$13:$A$17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Conclusion!$C$13:$C$17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6-49BD-A6B7-D0EF1B696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056669"/>
        <c:axId val="322965061"/>
      </c:barChart>
      <c:catAx>
        <c:axId val="376056669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22965061"/>
        <c:crosses val="autoZero"/>
        <c:auto val="1"/>
        <c:lblAlgn val="ctr"/>
        <c:lblOffset val="100"/>
        <c:noMultiLvlLbl val="1"/>
      </c:catAx>
      <c:valAx>
        <c:axId val="322965061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76056669"/>
        <c:crosses val="max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Conclusion!$A$13:$A$17</c:f>
              <c:strCache>
                <c:ptCount val="5"/>
                <c:pt idx="0">
                  <c:v>MEDIANE Groupe 1</c:v>
                </c:pt>
                <c:pt idx="1">
                  <c:v>MEDIANE Groupe 2</c:v>
                </c:pt>
                <c:pt idx="2">
                  <c:v>MEDIANE Groupe 3</c:v>
                </c:pt>
                <c:pt idx="3">
                  <c:v>MEDIANE Groupe 4</c:v>
                </c:pt>
                <c:pt idx="4">
                  <c:v>MEDIANE Groupe 5</c:v>
                </c:pt>
              </c:strCache>
            </c:strRef>
          </c:cat>
          <c:val>
            <c:numRef>
              <c:f>Conclusion!$D$13:$D$17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1-4B50-B9C8-7E147FF2F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617"/>
        <c:axId val="431271105"/>
      </c:barChart>
      <c:catAx>
        <c:axId val="155617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31271105"/>
        <c:crosses val="autoZero"/>
        <c:auto val="1"/>
        <c:lblAlgn val="ctr"/>
        <c:lblOffset val="100"/>
        <c:noMultiLvlLbl val="1"/>
      </c:catAx>
      <c:valAx>
        <c:axId val="431271105"/>
        <c:scaling>
          <c:orientation val="minMax"/>
          <c:max val="5"/>
          <c:min val="1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55617"/>
        <c:crosses val="max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Conclusion!$A$61:$A$65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Conclusion!$C$61:$C$65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0-4A2C-9DC9-472CC2AA8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Conclusion!$D$60</c:f>
              <c:strCache>
                <c:ptCount val="1"/>
                <c:pt idx="0">
                  <c:v>Avis CC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Conclusion!$A$61:$A$65</c:f>
              <c:strCache>
                <c:ptCount val="5"/>
                <c:pt idx="0">
                  <c:v>Grad1</c:v>
                </c:pt>
                <c:pt idx="1">
                  <c:v>Grad2</c:v>
                </c:pt>
                <c:pt idx="2">
                  <c:v>Grad3</c:v>
                </c:pt>
                <c:pt idx="3">
                  <c:v>Grad4</c:v>
                </c:pt>
                <c:pt idx="4">
                  <c:v>Grad5</c:v>
                </c:pt>
              </c:strCache>
            </c:strRef>
          </c:cat>
          <c:val>
            <c:numRef>
              <c:f>Conclusion!$D$61:$D$65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7-488C-93FB-2DEF9E8C1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Synthèse</a:t>
            </a:r>
            <a:r>
              <a:rPr lang="fr-FR" baseline="0"/>
              <a:t> des entretiens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Conclusion!$A$13</c:f>
              <c:strCache>
                <c:ptCount val="1"/>
                <c:pt idx="0">
                  <c:v>MEDIANE Groupe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Conclusion!$C$4:$D$4</c:f>
              <c:strCache>
                <c:ptCount val="2"/>
                <c:pt idx="0">
                  <c:v>Synthèse</c:v>
                </c:pt>
                <c:pt idx="1">
                  <c:v>Enracinement</c:v>
                </c:pt>
              </c:strCache>
            </c:strRef>
          </c:cat>
          <c:val>
            <c:numRef>
              <c:f>Conclusion!$C$13:$D$13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D-4398-B7F8-FCD0535834AA}"/>
            </c:ext>
          </c:extLst>
        </c:ser>
        <c:ser>
          <c:idx val="1"/>
          <c:order val="1"/>
          <c:tx>
            <c:strRef>
              <c:f>Conclusion!$A$14</c:f>
              <c:strCache>
                <c:ptCount val="1"/>
                <c:pt idx="0">
                  <c:v>MEDIANE Groupe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Conclusion!$C$4:$D$4</c:f>
              <c:strCache>
                <c:ptCount val="2"/>
                <c:pt idx="0">
                  <c:v>Synthèse</c:v>
                </c:pt>
                <c:pt idx="1">
                  <c:v>Enracinement</c:v>
                </c:pt>
              </c:strCache>
            </c:strRef>
          </c:cat>
          <c:val>
            <c:numRef>
              <c:f>Conclusion!$C$14:$D$14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D-4398-B7F8-FCD0535834AA}"/>
            </c:ext>
          </c:extLst>
        </c:ser>
        <c:ser>
          <c:idx val="2"/>
          <c:order val="2"/>
          <c:tx>
            <c:strRef>
              <c:f>Conclusion!$A$15</c:f>
              <c:strCache>
                <c:ptCount val="1"/>
                <c:pt idx="0">
                  <c:v>MEDIANE Groupe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Conclusion!$C$4:$D$4</c:f>
              <c:strCache>
                <c:ptCount val="2"/>
                <c:pt idx="0">
                  <c:v>Synthèse</c:v>
                </c:pt>
                <c:pt idx="1">
                  <c:v>Enracinement</c:v>
                </c:pt>
              </c:strCache>
            </c:strRef>
          </c:cat>
          <c:val>
            <c:numRef>
              <c:f>Conclusion!$C$15:$D$15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D-4398-B7F8-FCD0535834AA}"/>
            </c:ext>
          </c:extLst>
        </c:ser>
        <c:ser>
          <c:idx val="3"/>
          <c:order val="3"/>
          <c:tx>
            <c:strRef>
              <c:f>Conclusion!$A$16</c:f>
              <c:strCache>
                <c:ptCount val="1"/>
                <c:pt idx="0">
                  <c:v>MEDIANE Groupe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Conclusion!$C$4:$D$4</c:f>
              <c:strCache>
                <c:ptCount val="2"/>
                <c:pt idx="0">
                  <c:v>Synthèse</c:v>
                </c:pt>
                <c:pt idx="1">
                  <c:v>Enracinement</c:v>
                </c:pt>
              </c:strCache>
            </c:strRef>
          </c:cat>
          <c:val>
            <c:numRef>
              <c:f>Conclusion!$C$16:$D$16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0D-4398-B7F8-FCD0535834AA}"/>
            </c:ext>
          </c:extLst>
        </c:ser>
        <c:ser>
          <c:idx val="4"/>
          <c:order val="4"/>
          <c:tx>
            <c:strRef>
              <c:f>Conclusion!$A$17</c:f>
              <c:strCache>
                <c:ptCount val="1"/>
                <c:pt idx="0">
                  <c:v>MEDIANE Groupe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Conclusion!$C$4:$D$4</c:f>
              <c:strCache>
                <c:ptCount val="2"/>
                <c:pt idx="0">
                  <c:v>Synthèse</c:v>
                </c:pt>
                <c:pt idx="1">
                  <c:v>Enracinement</c:v>
                </c:pt>
              </c:strCache>
            </c:strRef>
          </c:cat>
          <c:val>
            <c:numRef>
              <c:f>Conclusion!$C$17:$D$17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0D-4398-B7F8-FCD053583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984399"/>
        <c:axId val="874975663"/>
      </c:barChart>
      <c:catAx>
        <c:axId val="87498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975663"/>
        <c:crosses val="autoZero"/>
        <c:auto val="1"/>
        <c:lblAlgn val="ctr"/>
        <c:lblOffset val="100"/>
        <c:noMultiLvlLbl val="0"/>
      </c:catAx>
      <c:valAx>
        <c:axId val="874975663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98439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19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image" Target="../media/image7.jp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1.xml"/><Relationship Id="rId10" Type="http://schemas.openxmlformats.org/officeDocument/2006/relationships/chart" Target="../charts/chart10.xml"/><Relationship Id="rId19" Type="http://schemas.openxmlformats.org/officeDocument/2006/relationships/image" Target="../media/image5.jp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18" Type="http://schemas.openxmlformats.org/officeDocument/2006/relationships/image" Target="../media/image5.jpg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" Type="http://schemas.openxmlformats.org/officeDocument/2006/relationships/chart" Target="../charts/chart23.xml"/><Relationship Id="rId16" Type="http://schemas.openxmlformats.org/officeDocument/2006/relationships/chart" Target="../charts/chart37.xml"/><Relationship Id="rId20" Type="http://schemas.openxmlformats.org/officeDocument/2006/relationships/chart" Target="../charts/chart39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5" Type="http://schemas.openxmlformats.org/officeDocument/2006/relationships/chart" Target="../charts/chart36.xml"/><Relationship Id="rId10" Type="http://schemas.openxmlformats.org/officeDocument/2006/relationships/chart" Target="../charts/chart31.xml"/><Relationship Id="rId19" Type="http://schemas.openxmlformats.org/officeDocument/2006/relationships/image" Target="../media/image7.jpg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image" Target="../media/image7.jpg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image" Target="../media/image5.jpg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image" Target="../media/image8.jpg"/><Relationship Id="rId5" Type="http://schemas.openxmlformats.org/officeDocument/2006/relationships/image" Target="../media/image5.jpg"/><Relationship Id="rId4" Type="http://schemas.openxmlformats.org/officeDocument/2006/relationships/chart" Target="../charts/chart5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3.xml"/><Relationship Id="rId5" Type="http://schemas.openxmlformats.org/officeDocument/2006/relationships/chart" Target="../charts/chart59.xml"/><Relationship Id="rId10" Type="http://schemas.openxmlformats.org/officeDocument/2006/relationships/image" Target="../media/image9.jpg"/><Relationship Id="rId4" Type="http://schemas.openxmlformats.org/officeDocument/2006/relationships/chart" Target="../charts/chart58.xml"/><Relationship Id="rId9" Type="http://schemas.openxmlformats.org/officeDocument/2006/relationships/image" Target="../media/image5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12</xdr:row>
      <xdr:rowOff>152400</xdr:rowOff>
    </xdr:from>
    <xdr:ext cx="895350" cy="495300"/>
    <xdr:pic>
      <xdr:nvPicPr>
        <xdr:cNvPr id="2" name="image2.jpg" descr="rnf_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12</xdr:row>
      <xdr:rowOff>161925</xdr:rowOff>
    </xdr:from>
    <xdr:ext cx="971550" cy="504825"/>
    <xdr:pic>
      <xdr:nvPicPr>
        <xdr:cNvPr id="3" name="image1.jpg" descr="LPO agir pour la biodiversité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7</xdr:row>
      <xdr:rowOff>152400</xdr:rowOff>
    </xdr:from>
    <xdr:ext cx="990600" cy="495300"/>
    <xdr:pic>
      <xdr:nvPicPr>
        <xdr:cNvPr id="2" name="image4.jpg" descr="rnf_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7</xdr:row>
      <xdr:rowOff>152400</xdr:rowOff>
    </xdr:from>
    <xdr:ext cx="1466850" cy="504825"/>
    <xdr:pic>
      <xdr:nvPicPr>
        <xdr:cNvPr id="3" name="image3.jpg" descr="LPO agir pour la biodiversité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101</xdr:row>
      <xdr:rowOff>209550</xdr:rowOff>
    </xdr:from>
    <xdr:ext cx="971550" cy="571500"/>
    <xdr:pic>
      <xdr:nvPicPr>
        <xdr:cNvPr id="2" name="image6.jpg" descr="rnf_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101</xdr:row>
      <xdr:rowOff>247650</xdr:rowOff>
    </xdr:from>
    <xdr:ext cx="1457325" cy="504825"/>
    <xdr:pic>
      <xdr:nvPicPr>
        <xdr:cNvPr id="3" name="image5.jpg" descr="LPO agir pour la biodiversité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89</xdr:row>
      <xdr:rowOff>209550</xdr:rowOff>
    </xdr:from>
    <xdr:ext cx="971550" cy="571500"/>
    <xdr:pic>
      <xdr:nvPicPr>
        <xdr:cNvPr id="2" name="image6.jpg" descr="rnf_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89</xdr:row>
      <xdr:rowOff>247650</xdr:rowOff>
    </xdr:from>
    <xdr:ext cx="1457325" cy="504825"/>
    <xdr:pic>
      <xdr:nvPicPr>
        <xdr:cNvPr id="3" name="image7.jpg" descr="LPO agir pour la biodiversité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31</xdr:row>
      <xdr:rowOff>9525</xdr:rowOff>
    </xdr:from>
    <xdr:ext cx="3667125" cy="2476500"/>
    <xdr:graphicFrame macro="">
      <xdr:nvGraphicFramePr>
        <xdr:cNvPr id="685761597" name="Chart 2">
          <a:extLst>
            <a:ext uri="{FF2B5EF4-FFF2-40B4-BE49-F238E27FC236}">
              <a16:creationId xmlns:a16="http://schemas.microsoft.com/office/drawing/2014/main" id="{00000000-0008-0000-0400-00003DE4D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457200</xdr:colOff>
      <xdr:row>37</xdr:row>
      <xdr:rowOff>19050</xdr:rowOff>
    </xdr:from>
    <xdr:ext cx="3705225" cy="2476500"/>
    <xdr:graphicFrame macro="">
      <xdr:nvGraphicFramePr>
        <xdr:cNvPr id="2097737960" name="Chart 3">
          <a:extLst>
            <a:ext uri="{FF2B5EF4-FFF2-40B4-BE49-F238E27FC236}">
              <a16:creationId xmlns:a16="http://schemas.microsoft.com/office/drawing/2014/main" id="{00000000-0008-0000-0400-0000E8F00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476250</xdr:colOff>
      <xdr:row>40</xdr:row>
      <xdr:rowOff>142875</xdr:rowOff>
    </xdr:from>
    <xdr:ext cx="3705225" cy="2209800"/>
    <xdr:graphicFrame macro="">
      <xdr:nvGraphicFramePr>
        <xdr:cNvPr id="1224106384" name="Chart 4">
          <a:extLst>
            <a:ext uri="{FF2B5EF4-FFF2-40B4-BE49-F238E27FC236}">
              <a16:creationId xmlns:a16="http://schemas.microsoft.com/office/drawing/2014/main" id="{00000000-0008-0000-0400-00009061F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933450</xdr:colOff>
      <xdr:row>44</xdr:row>
      <xdr:rowOff>19050</xdr:rowOff>
    </xdr:from>
    <xdr:ext cx="3667125" cy="2133600"/>
    <xdr:graphicFrame macro="">
      <xdr:nvGraphicFramePr>
        <xdr:cNvPr id="769042801" name="Chart 5">
          <a:extLst>
            <a:ext uri="{FF2B5EF4-FFF2-40B4-BE49-F238E27FC236}">
              <a16:creationId xmlns:a16="http://schemas.microsoft.com/office/drawing/2014/main" id="{00000000-0008-0000-0400-000071A9D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628650</xdr:colOff>
      <xdr:row>31</xdr:row>
      <xdr:rowOff>161925</xdr:rowOff>
    </xdr:from>
    <xdr:ext cx="3705225" cy="2505075"/>
    <xdr:graphicFrame macro="">
      <xdr:nvGraphicFramePr>
        <xdr:cNvPr id="744491969" name="Chart 6">
          <a:extLst>
            <a:ext uri="{FF2B5EF4-FFF2-40B4-BE49-F238E27FC236}">
              <a16:creationId xmlns:a16="http://schemas.microsoft.com/office/drawing/2014/main" id="{00000000-0008-0000-0400-0000C10B6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6</xdr:col>
      <xdr:colOff>590550</xdr:colOff>
      <xdr:row>34</xdr:row>
      <xdr:rowOff>142875</xdr:rowOff>
    </xdr:from>
    <xdr:ext cx="3705225" cy="2505075"/>
    <xdr:graphicFrame macro="">
      <xdr:nvGraphicFramePr>
        <xdr:cNvPr id="2116272397" name="Chart 7">
          <a:extLst>
            <a:ext uri="{FF2B5EF4-FFF2-40B4-BE49-F238E27FC236}">
              <a16:creationId xmlns:a16="http://schemas.microsoft.com/office/drawing/2014/main" id="{00000000-0008-0000-0400-00000DC12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7</xdr:col>
      <xdr:colOff>666750</xdr:colOff>
      <xdr:row>39</xdr:row>
      <xdr:rowOff>161925</xdr:rowOff>
    </xdr:from>
    <xdr:ext cx="3705225" cy="2057400"/>
    <xdr:graphicFrame macro="">
      <xdr:nvGraphicFramePr>
        <xdr:cNvPr id="334295725" name="Chart 8">
          <a:extLst>
            <a:ext uri="{FF2B5EF4-FFF2-40B4-BE49-F238E27FC236}">
              <a16:creationId xmlns:a16="http://schemas.microsoft.com/office/drawing/2014/main" id="{00000000-0008-0000-0400-0000ADF2E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8</xdr:col>
      <xdr:colOff>628650</xdr:colOff>
      <xdr:row>44</xdr:row>
      <xdr:rowOff>38100</xdr:rowOff>
    </xdr:from>
    <xdr:ext cx="3705225" cy="1819275"/>
    <xdr:graphicFrame macro="">
      <xdr:nvGraphicFramePr>
        <xdr:cNvPr id="1733873477" name="Chart 9">
          <a:extLst>
            <a:ext uri="{FF2B5EF4-FFF2-40B4-BE49-F238E27FC236}">
              <a16:creationId xmlns:a16="http://schemas.microsoft.com/office/drawing/2014/main" id="{00000000-0008-0000-0400-000045CF5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781050</xdr:colOff>
      <xdr:row>65</xdr:row>
      <xdr:rowOff>152400</xdr:rowOff>
    </xdr:from>
    <xdr:ext cx="2590800" cy="1866900"/>
    <xdr:graphicFrame macro="">
      <xdr:nvGraphicFramePr>
        <xdr:cNvPr id="844326247" name="Chart 12">
          <a:extLst>
            <a:ext uri="{FF2B5EF4-FFF2-40B4-BE49-F238E27FC236}">
              <a16:creationId xmlns:a16="http://schemas.microsoft.com/office/drawing/2014/main" id="{00000000-0008-0000-0400-000067655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</xdr:col>
      <xdr:colOff>885825</xdr:colOff>
      <xdr:row>70</xdr:row>
      <xdr:rowOff>66675</xdr:rowOff>
    </xdr:from>
    <xdr:ext cx="2590800" cy="1838325"/>
    <xdr:graphicFrame macro="">
      <xdr:nvGraphicFramePr>
        <xdr:cNvPr id="1821225348" name="Chart 13">
          <a:extLst>
            <a:ext uri="{FF2B5EF4-FFF2-40B4-BE49-F238E27FC236}">
              <a16:creationId xmlns:a16="http://schemas.microsoft.com/office/drawing/2014/main" id="{00000000-0008-0000-0400-000084B18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</xdr:col>
      <xdr:colOff>1009650</xdr:colOff>
      <xdr:row>66</xdr:row>
      <xdr:rowOff>19050</xdr:rowOff>
    </xdr:from>
    <xdr:ext cx="2590800" cy="1838325"/>
    <xdr:graphicFrame macro="">
      <xdr:nvGraphicFramePr>
        <xdr:cNvPr id="1802834168" name="Chart 14">
          <a:extLst>
            <a:ext uri="{FF2B5EF4-FFF2-40B4-BE49-F238E27FC236}">
              <a16:creationId xmlns:a16="http://schemas.microsoft.com/office/drawing/2014/main" id="{00000000-0008-0000-0400-0000F8107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4</xdr:col>
      <xdr:colOff>981075</xdr:colOff>
      <xdr:row>71</xdr:row>
      <xdr:rowOff>38100</xdr:rowOff>
    </xdr:from>
    <xdr:ext cx="2590800" cy="1838325"/>
    <xdr:graphicFrame macro="">
      <xdr:nvGraphicFramePr>
        <xdr:cNvPr id="1935002763" name="Chart 15">
          <a:extLst>
            <a:ext uri="{FF2B5EF4-FFF2-40B4-BE49-F238E27FC236}">
              <a16:creationId xmlns:a16="http://schemas.microsoft.com/office/drawing/2014/main" id="{00000000-0008-0000-0400-00008BCC5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5</xdr:col>
      <xdr:colOff>1133475</xdr:colOff>
      <xdr:row>65</xdr:row>
      <xdr:rowOff>171450</xdr:rowOff>
    </xdr:from>
    <xdr:ext cx="2590800" cy="1866900"/>
    <xdr:graphicFrame macro="">
      <xdr:nvGraphicFramePr>
        <xdr:cNvPr id="517385583" name="Chart 16">
          <a:extLst>
            <a:ext uri="{FF2B5EF4-FFF2-40B4-BE49-F238E27FC236}">
              <a16:creationId xmlns:a16="http://schemas.microsoft.com/office/drawing/2014/main" id="{00000000-0008-0000-0400-00006FADD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6</xdr:col>
      <xdr:colOff>1057275</xdr:colOff>
      <xdr:row>71</xdr:row>
      <xdr:rowOff>152400</xdr:rowOff>
    </xdr:from>
    <xdr:ext cx="2590800" cy="1866900"/>
    <xdr:graphicFrame macro="">
      <xdr:nvGraphicFramePr>
        <xdr:cNvPr id="122147689" name="Chart 17">
          <a:extLst>
            <a:ext uri="{FF2B5EF4-FFF2-40B4-BE49-F238E27FC236}">
              <a16:creationId xmlns:a16="http://schemas.microsoft.com/office/drawing/2014/main" id="{00000000-0008-0000-0400-000069D34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7</xdr:col>
      <xdr:colOff>1162050</xdr:colOff>
      <xdr:row>66</xdr:row>
      <xdr:rowOff>9525</xdr:rowOff>
    </xdr:from>
    <xdr:ext cx="2590800" cy="1838325"/>
    <xdr:graphicFrame macro="">
      <xdr:nvGraphicFramePr>
        <xdr:cNvPr id="1579106017" name="Chart 18">
          <a:extLst>
            <a:ext uri="{FF2B5EF4-FFF2-40B4-BE49-F238E27FC236}">
              <a16:creationId xmlns:a16="http://schemas.microsoft.com/office/drawing/2014/main" id="{00000000-0008-0000-0400-0000E13E1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8</xdr:col>
      <xdr:colOff>1095375</xdr:colOff>
      <xdr:row>71</xdr:row>
      <xdr:rowOff>85725</xdr:rowOff>
    </xdr:from>
    <xdr:ext cx="2590800" cy="1838325"/>
    <xdr:graphicFrame macro="">
      <xdr:nvGraphicFramePr>
        <xdr:cNvPr id="17653763" name="Chart 19">
          <a:extLst>
            <a:ext uri="{FF2B5EF4-FFF2-40B4-BE49-F238E27FC236}">
              <a16:creationId xmlns:a16="http://schemas.microsoft.com/office/drawing/2014/main" id="{00000000-0008-0000-0400-000003600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  <xdr:oneCellAnchor>
    <xdr:from>
      <xdr:col>9</xdr:col>
      <xdr:colOff>1028700</xdr:colOff>
      <xdr:row>66</xdr:row>
      <xdr:rowOff>28575</xdr:rowOff>
    </xdr:from>
    <xdr:ext cx="2590800" cy="1838325"/>
    <xdr:graphicFrame macro="">
      <xdr:nvGraphicFramePr>
        <xdr:cNvPr id="1444629821" name="Chart 20">
          <a:extLst>
            <a:ext uri="{FF2B5EF4-FFF2-40B4-BE49-F238E27FC236}">
              <a16:creationId xmlns:a16="http://schemas.microsoft.com/office/drawing/2014/main" id="{00000000-0008-0000-0400-00003D4D1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10</xdr:col>
      <xdr:colOff>1190625</xdr:colOff>
      <xdr:row>69</xdr:row>
      <xdr:rowOff>171450</xdr:rowOff>
    </xdr:from>
    <xdr:ext cx="1857375" cy="1866900"/>
    <xdr:graphicFrame macro="">
      <xdr:nvGraphicFramePr>
        <xdr:cNvPr id="1228310050" name="Chart 21">
          <a:extLst>
            <a:ext uri="{FF2B5EF4-FFF2-40B4-BE49-F238E27FC236}">
              <a16:creationId xmlns:a16="http://schemas.microsoft.com/office/drawing/2014/main" id="{00000000-0008-0000-0400-000022863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2</xdr:col>
      <xdr:colOff>142875</xdr:colOff>
      <xdr:row>83</xdr:row>
      <xdr:rowOff>209550</xdr:rowOff>
    </xdr:from>
    <xdr:ext cx="971550" cy="571500"/>
    <xdr:pic>
      <xdr:nvPicPr>
        <xdr:cNvPr id="2" name="image6.jpg" descr="rnf_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83</xdr:row>
      <xdr:rowOff>247650</xdr:rowOff>
    </xdr:from>
    <xdr:ext cx="1457325" cy="504825"/>
    <xdr:pic>
      <xdr:nvPicPr>
        <xdr:cNvPr id="3" name="image7.jpg" descr="LPO agir pour la biodiversité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4</xdr:col>
      <xdr:colOff>85725</xdr:colOff>
      <xdr:row>13</xdr:row>
      <xdr:rowOff>19050</xdr:rowOff>
    </xdr:from>
    <xdr:to>
      <xdr:col>7</xdr:col>
      <xdr:colOff>85725</xdr:colOff>
      <xdr:row>27</xdr:row>
      <xdr:rowOff>28575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99BF243-B97D-16EA-C1FC-6FFC4329E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oneCellAnchor>
    <xdr:from>
      <xdr:col>10</xdr:col>
      <xdr:colOff>390525</xdr:colOff>
      <xdr:row>40</xdr:row>
      <xdr:rowOff>66675</xdr:rowOff>
    </xdr:from>
    <xdr:ext cx="3705225" cy="1819275"/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F45AF7DD-7F0D-42E9-8D63-419EDD0E5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oneCellAnchor>
    <xdr:from>
      <xdr:col>11</xdr:col>
      <xdr:colOff>1400175</xdr:colOff>
      <xdr:row>44</xdr:row>
      <xdr:rowOff>38100</xdr:rowOff>
    </xdr:from>
    <xdr:ext cx="3705225" cy="1819275"/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D406C659-FFE3-441B-A829-DFA9BCB03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26</xdr:row>
      <xdr:rowOff>161925</xdr:rowOff>
    </xdr:from>
    <xdr:ext cx="3295650" cy="2438400"/>
    <xdr:graphicFrame macro="">
      <xdr:nvGraphicFramePr>
        <xdr:cNvPr id="1581967553" name="Chart 23">
          <a:extLst>
            <a:ext uri="{FF2B5EF4-FFF2-40B4-BE49-F238E27FC236}">
              <a16:creationId xmlns:a16="http://schemas.microsoft.com/office/drawing/2014/main" id="{00000000-0008-0000-0500-0000C1E84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857250</xdr:colOff>
      <xdr:row>30</xdr:row>
      <xdr:rowOff>95250</xdr:rowOff>
    </xdr:from>
    <xdr:ext cx="3295650" cy="2409825"/>
    <xdr:graphicFrame macro="">
      <xdr:nvGraphicFramePr>
        <xdr:cNvPr id="410975917" name="Chart 24">
          <a:extLst>
            <a:ext uri="{FF2B5EF4-FFF2-40B4-BE49-F238E27FC236}">
              <a16:creationId xmlns:a16="http://schemas.microsoft.com/office/drawing/2014/main" id="{00000000-0008-0000-0500-0000ADFE7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866775</xdr:colOff>
      <xdr:row>27</xdr:row>
      <xdr:rowOff>76200</xdr:rowOff>
    </xdr:from>
    <xdr:ext cx="3295650" cy="2409825"/>
    <xdr:graphicFrame macro="">
      <xdr:nvGraphicFramePr>
        <xdr:cNvPr id="1959137140" name="Chart 25">
          <a:extLst>
            <a:ext uri="{FF2B5EF4-FFF2-40B4-BE49-F238E27FC236}">
              <a16:creationId xmlns:a16="http://schemas.microsoft.com/office/drawing/2014/main" id="{00000000-0008-0000-0500-0000740FC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342900</xdr:colOff>
      <xdr:row>44</xdr:row>
      <xdr:rowOff>19050</xdr:rowOff>
    </xdr:from>
    <xdr:ext cx="3705225" cy="2476500"/>
    <xdr:graphicFrame macro="">
      <xdr:nvGraphicFramePr>
        <xdr:cNvPr id="697750882" name="Chart 27">
          <a:extLst>
            <a:ext uri="{FF2B5EF4-FFF2-40B4-BE49-F238E27FC236}">
              <a16:creationId xmlns:a16="http://schemas.microsoft.com/office/drawing/2014/main" id="{00000000-0008-0000-0500-000062D59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990600</xdr:colOff>
      <xdr:row>27</xdr:row>
      <xdr:rowOff>85725</xdr:rowOff>
    </xdr:from>
    <xdr:ext cx="3295650" cy="2409825"/>
    <xdr:graphicFrame macro="">
      <xdr:nvGraphicFramePr>
        <xdr:cNvPr id="1993314717" name="Chart 29">
          <a:extLst>
            <a:ext uri="{FF2B5EF4-FFF2-40B4-BE49-F238E27FC236}">
              <a16:creationId xmlns:a16="http://schemas.microsoft.com/office/drawing/2014/main" id="{00000000-0008-0000-0500-00009D91C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</xdr:col>
      <xdr:colOff>714375</xdr:colOff>
      <xdr:row>40</xdr:row>
      <xdr:rowOff>76200</xdr:rowOff>
    </xdr:from>
    <xdr:ext cx="3295650" cy="2409825"/>
    <xdr:graphicFrame macro="">
      <xdr:nvGraphicFramePr>
        <xdr:cNvPr id="359981514" name="Chart 30">
          <a:extLst>
            <a:ext uri="{FF2B5EF4-FFF2-40B4-BE49-F238E27FC236}">
              <a16:creationId xmlns:a16="http://schemas.microsoft.com/office/drawing/2014/main" id="{00000000-0008-0000-0500-0000CAE17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8</xdr:col>
      <xdr:colOff>866775</xdr:colOff>
      <xdr:row>28</xdr:row>
      <xdr:rowOff>47625</xdr:rowOff>
    </xdr:from>
    <xdr:ext cx="3295650" cy="2409825"/>
    <xdr:graphicFrame macro="">
      <xdr:nvGraphicFramePr>
        <xdr:cNvPr id="1562244769" name="Chart 31">
          <a:extLst>
            <a:ext uri="{FF2B5EF4-FFF2-40B4-BE49-F238E27FC236}">
              <a16:creationId xmlns:a16="http://schemas.microsoft.com/office/drawing/2014/main" id="{00000000-0008-0000-0500-0000A1F61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9</xdr:col>
      <xdr:colOff>895350</xdr:colOff>
      <xdr:row>40</xdr:row>
      <xdr:rowOff>76200</xdr:rowOff>
    </xdr:from>
    <xdr:ext cx="3295650" cy="2409825"/>
    <xdr:graphicFrame macro="">
      <xdr:nvGraphicFramePr>
        <xdr:cNvPr id="926266038" name="Chart 32">
          <a:extLst>
            <a:ext uri="{FF2B5EF4-FFF2-40B4-BE49-F238E27FC236}">
              <a16:creationId xmlns:a16="http://schemas.microsoft.com/office/drawing/2014/main" id="{00000000-0008-0000-0500-0000B6B23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914400</xdr:colOff>
      <xdr:row>65</xdr:row>
      <xdr:rowOff>114300</xdr:rowOff>
    </xdr:from>
    <xdr:ext cx="2295525" cy="1562100"/>
    <xdr:graphicFrame macro="">
      <xdr:nvGraphicFramePr>
        <xdr:cNvPr id="215729281" name="Chart 35">
          <a:extLst>
            <a:ext uri="{FF2B5EF4-FFF2-40B4-BE49-F238E27FC236}">
              <a16:creationId xmlns:a16="http://schemas.microsoft.com/office/drawing/2014/main" id="{00000000-0008-0000-0500-000081C4D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</xdr:col>
      <xdr:colOff>847725</xdr:colOff>
      <xdr:row>69</xdr:row>
      <xdr:rowOff>9525</xdr:rowOff>
    </xdr:from>
    <xdr:ext cx="2286000" cy="1543050"/>
    <xdr:graphicFrame macro="">
      <xdr:nvGraphicFramePr>
        <xdr:cNvPr id="1289711539" name="Chart 36">
          <a:extLst>
            <a:ext uri="{FF2B5EF4-FFF2-40B4-BE49-F238E27FC236}">
              <a16:creationId xmlns:a16="http://schemas.microsoft.com/office/drawing/2014/main" id="{00000000-0008-0000-0500-0000B36FD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</xdr:col>
      <xdr:colOff>1009650</xdr:colOff>
      <xdr:row>65</xdr:row>
      <xdr:rowOff>123825</xdr:rowOff>
    </xdr:from>
    <xdr:ext cx="2286000" cy="1562100"/>
    <xdr:graphicFrame macro="">
      <xdr:nvGraphicFramePr>
        <xdr:cNvPr id="1350586174" name="Chart 37">
          <a:extLst>
            <a:ext uri="{FF2B5EF4-FFF2-40B4-BE49-F238E27FC236}">
              <a16:creationId xmlns:a16="http://schemas.microsoft.com/office/drawing/2014/main" id="{00000000-0008-0000-0500-00003E4F8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4</xdr:col>
      <xdr:colOff>990600</xdr:colOff>
      <xdr:row>69</xdr:row>
      <xdr:rowOff>95250</xdr:rowOff>
    </xdr:from>
    <xdr:ext cx="2286000" cy="1562100"/>
    <xdr:graphicFrame macro="">
      <xdr:nvGraphicFramePr>
        <xdr:cNvPr id="1942049176" name="Chart 38">
          <a:extLst>
            <a:ext uri="{FF2B5EF4-FFF2-40B4-BE49-F238E27FC236}">
              <a16:creationId xmlns:a16="http://schemas.microsoft.com/office/drawing/2014/main" id="{00000000-0008-0000-0500-00009851C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5</xdr:col>
      <xdr:colOff>1009650</xdr:colOff>
      <xdr:row>66</xdr:row>
      <xdr:rowOff>9525</xdr:rowOff>
    </xdr:from>
    <xdr:ext cx="2286000" cy="1543050"/>
    <xdr:graphicFrame macro="">
      <xdr:nvGraphicFramePr>
        <xdr:cNvPr id="1019129922" name="Chart 39">
          <a:extLst>
            <a:ext uri="{FF2B5EF4-FFF2-40B4-BE49-F238E27FC236}">
              <a16:creationId xmlns:a16="http://schemas.microsoft.com/office/drawing/2014/main" id="{00000000-0008-0000-0500-000042B0B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6</xdr:col>
      <xdr:colOff>1066800</xdr:colOff>
      <xdr:row>68</xdr:row>
      <xdr:rowOff>76200</xdr:rowOff>
    </xdr:from>
    <xdr:ext cx="2286000" cy="1562100"/>
    <xdr:graphicFrame macro="">
      <xdr:nvGraphicFramePr>
        <xdr:cNvPr id="473505292" name="Chart 40">
          <a:extLst>
            <a:ext uri="{FF2B5EF4-FFF2-40B4-BE49-F238E27FC236}">
              <a16:creationId xmlns:a16="http://schemas.microsoft.com/office/drawing/2014/main" id="{00000000-0008-0000-0500-00000C1E3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7</xdr:col>
      <xdr:colOff>1219200</xdr:colOff>
      <xdr:row>65</xdr:row>
      <xdr:rowOff>152400</xdr:rowOff>
    </xdr:from>
    <xdr:ext cx="2286000" cy="1562100"/>
    <xdr:graphicFrame macro="">
      <xdr:nvGraphicFramePr>
        <xdr:cNvPr id="1710753787" name="Chart 41">
          <a:extLst>
            <a:ext uri="{FF2B5EF4-FFF2-40B4-BE49-F238E27FC236}">
              <a16:creationId xmlns:a16="http://schemas.microsoft.com/office/drawing/2014/main" id="{00000000-0008-0000-0500-0000FB07F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8</xdr:col>
      <xdr:colOff>1143000</xdr:colOff>
      <xdr:row>69</xdr:row>
      <xdr:rowOff>57150</xdr:rowOff>
    </xdr:from>
    <xdr:ext cx="2286000" cy="1562100"/>
    <xdr:graphicFrame macro="">
      <xdr:nvGraphicFramePr>
        <xdr:cNvPr id="564210367" name="Chart 42">
          <a:extLst>
            <a:ext uri="{FF2B5EF4-FFF2-40B4-BE49-F238E27FC236}">
              <a16:creationId xmlns:a16="http://schemas.microsoft.com/office/drawing/2014/main" id="{00000000-0008-0000-0500-0000BF2AA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  <xdr:oneCellAnchor>
    <xdr:from>
      <xdr:col>9</xdr:col>
      <xdr:colOff>1019175</xdr:colOff>
      <xdr:row>66</xdr:row>
      <xdr:rowOff>38100</xdr:rowOff>
    </xdr:from>
    <xdr:ext cx="2286000" cy="1562100"/>
    <xdr:graphicFrame macro="">
      <xdr:nvGraphicFramePr>
        <xdr:cNvPr id="1624923975" name="Chart 43">
          <a:extLst>
            <a:ext uri="{FF2B5EF4-FFF2-40B4-BE49-F238E27FC236}">
              <a16:creationId xmlns:a16="http://schemas.microsoft.com/office/drawing/2014/main" id="{00000000-0008-0000-0500-0000475FD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2</xdr:col>
      <xdr:colOff>142875</xdr:colOff>
      <xdr:row>80</xdr:row>
      <xdr:rowOff>209550</xdr:rowOff>
    </xdr:from>
    <xdr:ext cx="971550" cy="571500"/>
    <xdr:pic>
      <xdr:nvPicPr>
        <xdr:cNvPr id="2" name="image6.jpg" descr="rnf_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80</xdr:row>
      <xdr:rowOff>238125</xdr:rowOff>
    </xdr:from>
    <xdr:ext cx="1457325" cy="504825"/>
    <xdr:pic>
      <xdr:nvPicPr>
        <xdr:cNvPr id="3" name="image7.jpg" descr="LPO agir pour la biodiversité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5</xdr:col>
      <xdr:colOff>962025</xdr:colOff>
      <xdr:row>13</xdr:row>
      <xdr:rowOff>161925</xdr:rowOff>
    </xdr:from>
    <xdr:to>
      <xdr:col>8</xdr:col>
      <xdr:colOff>962025</xdr:colOff>
      <xdr:row>27</xdr:row>
      <xdr:rowOff>163830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D7B02CC-C22E-F342-C95F-399FAA085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619125</xdr:colOff>
      <xdr:row>11</xdr:row>
      <xdr:rowOff>142875</xdr:rowOff>
    </xdr:from>
    <xdr:ext cx="4438650" cy="3143250"/>
    <xdr:graphicFrame macro="">
      <xdr:nvGraphicFramePr>
        <xdr:cNvPr id="2010880301" name="Chart 46">
          <a:extLst>
            <a:ext uri="{FF2B5EF4-FFF2-40B4-BE49-F238E27FC236}">
              <a16:creationId xmlns:a16="http://schemas.microsoft.com/office/drawing/2014/main" id="{00000000-0008-0000-0600-00002D99D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0</xdr:colOff>
      <xdr:row>43</xdr:row>
      <xdr:rowOff>95250</xdr:rowOff>
    </xdr:from>
    <xdr:ext cx="3886200" cy="2133600"/>
    <xdr:graphicFrame macro="">
      <xdr:nvGraphicFramePr>
        <xdr:cNvPr id="936647171" name="Chart 48">
          <a:extLst>
            <a:ext uri="{FF2B5EF4-FFF2-40B4-BE49-F238E27FC236}">
              <a16:creationId xmlns:a16="http://schemas.microsoft.com/office/drawing/2014/main" id="{00000000-0008-0000-0600-0000031AD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447675</xdr:colOff>
      <xdr:row>32</xdr:row>
      <xdr:rowOff>104775</xdr:rowOff>
    </xdr:from>
    <xdr:ext cx="3886200" cy="2133600"/>
    <xdr:graphicFrame macro="">
      <xdr:nvGraphicFramePr>
        <xdr:cNvPr id="10231605" name="Chart 49">
          <a:extLst>
            <a:ext uri="{FF2B5EF4-FFF2-40B4-BE49-F238E27FC236}">
              <a16:creationId xmlns:a16="http://schemas.microsoft.com/office/drawing/2014/main" id="{00000000-0008-0000-0600-0000351F9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571500</xdr:colOff>
      <xdr:row>42</xdr:row>
      <xdr:rowOff>133350</xdr:rowOff>
    </xdr:from>
    <xdr:ext cx="3886200" cy="2133600"/>
    <xdr:graphicFrame macro="">
      <xdr:nvGraphicFramePr>
        <xdr:cNvPr id="1743734345" name="Chart 50">
          <a:extLst>
            <a:ext uri="{FF2B5EF4-FFF2-40B4-BE49-F238E27FC236}">
              <a16:creationId xmlns:a16="http://schemas.microsoft.com/office/drawing/2014/main" id="{00000000-0008-0000-0600-00004946E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257175</xdr:colOff>
      <xdr:row>32</xdr:row>
      <xdr:rowOff>66675</xdr:rowOff>
    </xdr:from>
    <xdr:ext cx="3886200" cy="2133600"/>
    <xdr:graphicFrame macro="">
      <xdr:nvGraphicFramePr>
        <xdr:cNvPr id="1038304784" name="Chart 51">
          <a:extLst>
            <a:ext uri="{FF2B5EF4-FFF2-40B4-BE49-F238E27FC236}">
              <a16:creationId xmlns:a16="http://schemas.microsoft.com/office/drawing/2014/main" id="{00000000-0008-0000-0600-00001046E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485775</xdr:colOff>
      <xdr:row>42</xdr:row>
      <xdr:rowOff>85725</xdr:rowOff>
    </xdr:from>
    <xdr:ext cx="3857625" cy="2133600"/>
    <xdr:graphicFrame macro="">
      <xdr:nvGraphicFramePr>
        <xdr:cNvPr id="1988539316" name="Chart 52">
          <a:extLst>
            <a:ext uri="{FF2B5EF4-FFF2-40B4-BE49-F238E27FC236}">
              <a16:creationId xmlns:a16="http://schemas.microsoft.com/office/drawing/2014/main" id="{00000000-0008-0000-0600-0000B4B38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0</xdr:colOff>
      <xdr:row>70</xdr:row>
      <xdr:rowOff>0</xdr:rowOff>
    </xdr:from>
    <xdr:ext cx="2266950" cy="1524000"/>
    <xdr:graphicFrame macro="">
      <xdr:nvGraphicFramePr>
        <xdr:cNvPr id="750274541" name="Chart 54">
          <a:extLst>
            <a:ext uri="{FF2B5EF4-FFF2-40B4-BE49-F238E27FC236}">
              <a16:creationId xmlns:a16="http://schemas.microsoft.com/office/drawing/2014/main" id="{00000000-0008-0000-0600-0000ED47B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</xdr:col>
      <xdr:colOff>1219200</xdr:colOff>
      <xdr:row>66</xdr:row>
      <xdr:rowOff>66675</xdr:rowOff>
    </xdr:from>
    <xdr:ext cx="2266950" cy="1552575"/>
    <xdr:graphicFrame macro="">
      <xdr:nvGraphicFramePr>
        <xdr:cNvPr id="774580635" name="Chart 55">
          <a:extLst>
            <a:ext uri="{FF2B5EF4-FFF2-40B4-BE49-F238E27FC236}">
              <a16:creationId xmlns:a16="http://schemas.microsoft.com/office/drawing/2014/main" id="{00000000-0008-0000-0600-00009B292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</xdr:col>
      <xdr:colOff>1085850</xdr:colOff>
      <xdr:row>70</xdr:row>
      <xdr:rowOff>9525</xdr:rowOff>
    </xdr:from>
    <xdr:ext cx="2266950" cy="1524000"/>
    <xdr:graphicFrame macro="">
      <xdr:nvGraphicFramePr>
        <xdr:cNvPr id="590338120" name="Chart 56">
          <a:extLst>
            <a:ext uri="{FF2B5EF4-FFF2-40B4-BE49-F238E27FC236}">
              <a16:creationId xmlns:a16="http://schemas.microsoft.com/office/drawing/2014/main" id="{00000000-0008-0000-0600-000048D82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4</xdr:col>
      <xdr:colOff>885825</xdr:colOff>
      <xdr:row>66</xdr:row>
      <xdr:rowOff>104775</xdr:rowOff>
    </xdr:from>
    <xdr:ext cx="2266950" cy="1552575"/>
    <xdr:graphicFrame macro="">
      <xdr:nvGraphicFramePr>
        <xdr:cNvPr id="493743141" name="Chart 57">
          <a:extLst>
            <a:ext uri="{FF2B5EF4-FFF2-40B4-BE49-F238E27FC236}">
              <a16:creationId xmlns:a16="http://schemas.microsoft.com/office/drawing/2014/main" id="{00000000-0008-0000-0600-000025EC6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5</xdr:col>
      <xdr:colOff>1000125</xdr:colOff>
      <xdr:row>69</xdr:row>
      <xdr:rowOff>38100</xdr:rowOff>
    </xdr:from>
    <xdr:ext cx="2266950" cy="1524000"/>
    <xdr:graphicFrame macro="">
      <xdr:nvGraphicFramePr>
        <xdr:cNvPr id="626306315" name="Chart 58">
          <a:extLst>
            <a:ext uri="{FF2B5EF4-FFF2-40B4-BE49-F238E27FC236}">
              <a16:creationId xmlns:a16="http://schemas.microsoft.com/office/drawing/2014/main" id="{00000000-0008-0000-0600-00000BAD5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</xdr:col>
      <xdr:colOff>0</xdr:colOff>
      <xdr:row>80</xdr:row>
      <xdr:rowOff>209550</xdr:rowOff>
    </xdr:from>
    <xdr:ext cx="971550" cy="571500"/>
    <xdr:pic>
      <xdr:nvPicPr>
        <xdr:cNvPr id="2" name="image6.jpg" descr="rnf_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80</xdr:row>
      <xdr:rowOff>238125</xdr:rowOff>
    </xdr:from>
    <xdr:ext cx="1457325" cy="504825"/>
    <xdr:pic>
      <xdr:nvPicPr>
        <xdr:cNvPr id="3" name="image7.jpg" descr="LPO agir pour la biodiversité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238125</xdr:colOff>
      <xdr:row>0</xdr:row>
      <xdr:rowOff>152400</xdr:rowOff>
    </xdr:from>
    <xdr:ext cx="4448175" cy="2809875"/>
    <xdr:graphicFrame macro="">
      <xdr:nvGraphicFramePr>
        <xdr:cNvPr id="1527655674" name="Chart 59">
          <a:extLst>
            <a:ext uri="{FF2B5EF4-FFF2-40B4-BE49-F238E27FC236}">
              <a16:creationId xmlns:a16="http://schemas.microsoft.com/office/drawing/2014/main" id="{00000000-0008-0000-0700-0000FA2C0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238125</xdr:colOff>
      <xdr:row>15</xdr:row>
      <xdr:rowOff>152400</xdr:rowOff>
    </xdr:from>
    <xdr:ext cx="4448175" cy="3000375"/>
    <xdr:graphicFrame macro="">
      <xdr:nvGraphicFramePr>
        <xdr:cNvPr id="939344391" name="Chart 60">
          <a:extLst>
            <a:ext uri="{FF2B5EF4-FFF2-40B4-BE49-F238E27FC236}">
              <a16:creationId xmlns:a16="http://schemas.microsoft.com/office/drawing/2014/main" id="{00000000-0008-0000-0700-00000742F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238125</xdr:colOff>
      <xdr:row>0</xdr:row>
      <xdr:rowOff>142875</xdr:rowOff>
    </xdr:from>
    <xdr:ext cx="4448175" cy="2809875"/>
    <xdr:graphicFrame macro="">
      <xdr:nvGraphicFramePr>
        <xdr:cNvPr id="1169246098" name="Chart 61">
          <a:extLst>
            <a:ext uri="{FF2B5EF4-FFF2-40B4-BE49-F238E27FC236}">
              <a16:creationId xmlns:a16="http://schemas.microsoft.com/office/drawing/2014/main" id="{00000000-0008-0000-0700-00009247B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247650</xdr:colOff>
      <xdr:row>15</xdr:row>
      <xdr:rowOff>152400</xdr:rowOff>
    </xdr:from>
    <xdr:ext cx="4448175" cy="3000375"/>
    <xdr:graphicFrame macro="">
      <xdr:nvGraphicFramePr>
        <xdr:cNvPr id="781470763" name="Chart 62">
          <a:extLst>
            <a:ext uri="{FF2B5EF4-FFF2-40B4-BE49-F238E27FC236}">
              <a16:creationId xmlns:a16="http://schemas.microsoft.com/office/drawing/2014/main" id="{00000000-0008-0000-0700-00002B4C9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142875</xdr:colOff>
      <xdr:row>34</xdr:row>
      <xdr:rowOff>209550</xdr:rowOff>
    </xdr:from>
    <xdr:ext cx="971550" cy="571500"/>
    <xdr:pic>
      <xdr:nvPicPr>
        <xdr:cNvPr id="2" name="image6.jpg" descr="rnf_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1457325</xdr:colOff>
      <xdr:row>34</xdr:row>
      <xdr:rowOff>209550</xdr:rowOff>
    </xdr:from>
    <xdr:ext cx="1343025" cy="504825"/>
    <xdr:pic>
      <xdr:nvPicPr>
        <xdr:cNvPr id="3" name="image8.jpg" descr="LPO agir pour la biodiversité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1543050</xdr:colOff>
      <xdr:row>26</xdr:row>
      <xdr:rowOff>57150</xdr:rowOff>
    </xdr:from>
    <xdr:ext cx="2771775" cy="2400300"/>
    <xdr:graphicFrame macro="">
      <xdr:nvGraphicFramePr>
        <xdr:cNvPr id="149822278" name="Chart 63">
          <a:extLst>
            <a:ext uri="{FF2B5EF4-FFF2-40B4-BE49-F238E27FC236}">
              <a16:creationId xmlns:a16="http://schemas.microsoft.com/office/drawing/2014/main" id="{00000000-0008-0000-0800-0000461BE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1038225</xdr:colOff>
      <xdr:row>26</xdr:row>
      <xdr:rowOff>57150</xdr:rowOff>
    </xdr:from>
    <xdr:ext cx="3143250" cy="2400300"/>
    <xdr:graphicFrame macro="">
      <xdr:nvGraphicFramePr>
        <xdr:cNvPr id="991313901" name="Chart 64">
          <a:extLst>
            <a:ext uri="{FF2B5EF4-FFF2-40B4-BE49-F238E27FC236}">
              <a16:creationId xmlns:a16="http://schemas.microsoft.com/office/drawing/2014/main" id="{00000000-0008-0000-0800-0000ED3F1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2095500</xdr:colOff>
      <xdr:row>27</xdr:row>
      <xdr:rowOff>76200</xdr:rowOff>
    </xdr:from>
    <xdr:ext cx="3086100" cy="2400300"/>
    <xdr:graphicFrame macro="">
      <xdr:nvGraphicFramePr>
        <xdr:cNvPr id="1313350675" name="Chart 65">
          <a:extLst>
            <a:ext uri="{FF2B5EF4-FFF2-40B4-BE49-F238E27FC236}">
              <a16:creationId xmlns:a16="http://schemas.microsoft.com/office/drawing/2014/main" id="{00000000-0008-0000-0800-000013244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857250</xdr:colOff>
      <xdr:row>27</xdr:row>
      <xdr:rowOff>76200</xdr:rowOff>
    </xdr:from>
    <xdr:ext cx="3105150" cy="2400300"/>
    <xdr:graphicFrame macro="">
      <xdr:nvGraphicFramePr>
        <xdr:cNvPr id="1620032191" name="Chart 66">
          <a:extLst>
            <a:ext uri="{FF2B5EF4-FFF2-40B4-BE49-F238E27FC236}">
              <a16:creationId xmlns:a16="http://schemas.microsoft.com/office/drawing/2014/main" id="{00000000-0008-0000-0800-0000BFBA8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66675</xdr:colOff>
      <xdr:row>67</xdr:row>
      <xdr:rowOff>9525</xdr:rowOff>
    </xdr:from>
    <xdr:ext cx="1990725" cy="2200275"/>
    <xdr:graphicFrame macro="">
      <xdr:nvGraphicFramePr>
        <xdr:cNvPr id="1068715197" name="Chart 67">
          <a:extLst>
            <a:ext uri="{FF2B5EF4-FFF2-40B4-BE49-F238E27FC236}">
              <a16:creationId xmlns:a16="http://schemas.microsoft.com/office/drawing/2014/main" id="{00000000-0008-0000-0800-0000BD4CB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0</xdr:colOff>
      <xdr:row>67</xdr:row>
      <xdr:rowOff>0</xdr:rowOff>
    </xdr:from>
    <xdr:ext cx="1990725" cy="2171700"/>
    <xdr:graphicFrame macro="">
      <xdr:nvGraphicFramePr>
        <xdr:cNvPr id="483037752" name="Chart 68">
          <a:extLst>
            <a:ext uri="{FF2B5EF4-FFF2-40B4-BE49-F238E27FC236}">
              <a16:creationId xmlns:a16="http://schemas.microsoft.com/office/drawing/2014/main" id="{00000000-0008-0000-0800-00003892C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</xdr:col>
      <xdr:colOff>0</xdr:colOff>
      <xdr:row>67</xdr:row>
      <xdr:rowOff>0</xdr:rowOff>
    </xdr:from>
    <xdr:ext cx="1990725" cy="2171700"/>
    <xdr:graphicFrame macro="">
      <xdr:nvGraphicFramePr>
        <xdr:cNvPr id="874899313" name="Chart 69">
          <a:extLst>
            <a:ext uri="{FF2B5EF4-FFF2-40B4-BE49-F238E27FC236}">
              <a16:creationId xmlns:a16="http://schemas.microsoft.com/office/drawing/2014/main" id="{00000000-0008-0000-0800-000071E72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4</xdr:col>
      <xdr:colOff>0</xdr:colOff>
      <xdr:row>67</xdr:row>
      <xdr:rowOff>0</xdr:rowOff>
    </xdr:from>
    <xdr:ext cx="1990725" cy="2171700"/>
    <xdr:graphicFrame macro="">
      <xdr:nvGraphicFramePr>
        <xdr:cNvPr id="2089032542" name="Chart 70">
          <a:extLst>
            <a:ext uri="{FF2B5EF4-FFF2-40B4-BE49-F238E27FC236}">
              <a16:creationId xmlns:a16="http://schemas.microsoft.com/office/drawing/2014/main" id="{00000000-0008-0000-0800-00005E1B8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142875</xdr:colOff>
      <xdr:row>83</xdr:row>
      <xdr:rowOff>209550</xdr:rowOff>
    </xdr:from>
    <xdr:ext cx="971550" cy="571500"/>
    <xdr:pic>
      <xdr:nvPicPr>
        <xdr:cNvPr id="2" name="image6.jpg" descr="rnf_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1457325</xdr:colOff>
      <xdr:row>83</xdr:row>
      <xdr:rowOff>209550</xdr:rowOff>
    </xdr:from>
    <xdr:ext cx="1247775" cy="504825"/>
    <xdr:pic>
      <xdr:nvPicPr>
        <xdr:cNvPr id="3" name="image9.jpg" descr="LPO agir pour la biodiversité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5</xdr:col>
      <xdr:colOff>180975</xdr:colOff>
      <xdr:row>6</xdr:row>
      <xdr:rowOff>85725</xdr:rowOff>
    </xdr:from>
    <xdr:to>
      <xdr:col>11</xdr:col>
      <xdr:colOff>123825</xdr:colOff>
      <xdr:row>20</xdr:row>
      <xdr:rowOff>161925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C9C84CF-4CDC-CB7E-58DC-13B358610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25</xdr:row>
      <xdr:rowOff>57150</xdr:rowOff>
    </xdr:from>
    <xdr:ext cx="2857500" cy="2219325"/>
    <xdr:graphicFrame macro="">
      <xdr:nvGraphicFramePr>
        <xdr:cNvPr id="345271946" name="Chart 78">
          <a:extLst>
            <a:ext uri="{FF2B5EF4-FFF2-40B4-BE49-F238E27FC236}">
              <a16:creationId xmlns:a16="http://schemas.microsoft.com/office/drawing/2014/main" id="{00000000-0008-0000-0A00-00008A6E9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190500</xdr:colOff>
      <xdr:row>25</xdr:row>
      <xdr:rowOff>95250</xdr:rowOff>
    </xdr:from>
    <xdr:ext cx="3152775" cy="2219325"/>
    <xdr:graphicFrame macro="">
      <xdr:nvGraphicFramePr>
        <xdr:cNvPr id="790467548" name="Chart 79">
          <a:extLst>
            <a:ext uri="{FF2B5EF4-FFF2-40B4-BE49-F238E27FC236}">
              <a16:creationId xmlns:a16="http://schemas.microsoft.com/office/drawing/2014/main" id="{00000000-0008-0000-0A00-0000DC931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57150</xdr:colOff>
      <xdr:row>65</xdr:row>
      <xdr:rowOff>123825</xdr:rowOff>
    </xdr:from>
    <xdr:ext cx="2771775" cy="2057400"/>
    <xdr:graphicFrame macro="">
      <xdr:nvGraphicFramePr>
        <xdr:cNvPr id="974825222" name="Chart 81">
          <a:extLst>
            <a:ext uri="{FF2B5EF4-FFF2-40B4-BE49-F238E27FC236}">
              <a16:creationId xmlns:a16="http://schemas.microsoft.com/office/drawing/2014/main" id="{00000000-0008-0000-0A00-000006A71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666750</xdr:colOff>
      <xdr:row>65</xdr:row>
      <xdr:rowOff>152400</xdr:rowOff>
    </xdr:from>
    <xdr:ext cx="2724150" cy="2057400"/>
    <xdr:graphicFrame macro="">
      <xdr:nvGraphicFramePr>
        <xdr:cNvPr id="1004114943" name="Chart 82">
          <a:extLst>
            <a:ext uri="{FF2B5EF4-FFF2-40B4-BE49-F238E27FC236}">
              <a16:creationId xmlns:a16="http://schemas.microsoft.com/office/drawing/2014/main" id="{00000000-0008-0000-0A00-0000FF93D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4</xdr:col>
      <xdr:colOff>390525</xdr:colOff>
      <xdr:row>7</xdr:row>
      <xdr:rowOff>180975</xdr:rowOff>
    </xdr:from>
    <xdr:to>
      <xdr:col>10</xdr:col>
      <xdr:colOff>581025</xdr:colOff>
      <xdr:row>22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4A20BAF-4A39-0777-AF63-46FA7AFB9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-nd/4.0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bobby@trifouillylesoies.com" TargetMode="External"/><Relationship Id="rId1" Type="http://schemas.openxmlformats.org/officeDocument/2006/relationships/hyperlink" Target="mailto:jessie.james@syndica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selection activeCell="D9" sqref="D9"/>
    </sheetView>
  </sheetViews>
  <sheetFormatPr baseColWidth="10" defaultColWidth="12.59765625" defaultRowHeight="15" customHeight="1" x14ac:dyDescent="0.25"/>
  <cols>
    <col min="1" max="1" width="11.69921875" customWidth="1"/>
    <col min="2" max="2" width="11.8984375" customWidth="1"/>
    <col min="3" max="4" width="9.3984375" customWidth="1"/>
    <col min="5" max="5" width="13.59765625" customWidth="1"/>
    <col min="6" max="6" width="13.09765625" customWidth="1"/>
    <col min="7" max="7" width="13.59765625" customWidth="1"/>
    <col min="8" max="8" width="12.09765625" customWidth="1"/>
    <col min="9" max="9" width="13.59765625" customWidth="1"/>
    <col min="10" max="27" width="9.3984375" customWidth="1"/>
  </cols>
  <sheetData>
    <row r="1" spans="1:27" ht="56.25" customHeight="1" x14ac:dyDescent="0.25">
      <c r="A1" s="1" t="s">
        <v>455</v>
      </c>
      <c r="B1" s="1" t="s">
        <v>456</v>
      </c>
      <c r="C1" s="1" t="s">
        <v>457</v>
      </c>
      <c r="D1" s="1" t="s">
        <v>1</v>
      </c>
      <c r="E1" s="1" t="s">
        <v>5</v>
      </c>
      <c r="F1" s="1" t="s">
        <v>459</v>
      </c>
      <c r="G1" s="1" t="s">
        <v>2</v>
      </c>
      <c r="H1" s="1" t="s">
        <v>3</v>
      </c>
      <c r="I1" s="1" t="s">
        <v>0</v>
      </c>
      <c r="J1" s="1" t="s">
        <v>4</v>
      </c>
    </row>
    <row r="2" spans="1:27" ht="43.2" x14ac:dyDescent="0.25">
      <c r="A2" s="2" t="s">
        <v>6</v>
      </c>
      <c r="B2" s="2" t="s">
        <v>8</v>
      </c>
      <c r="C2" s="2" t="s">
        <v>458</v>
      </c>
      <c r="D2" s="2">
        <v>337</v>
      </c>
      <c r="E2" s="2" t="s">
        <v>454</v>
      </c>
      <c r="F2" s="2" t="s">
        <v>460</v>
      </c>
      <c r="G2" s="2">
        <v>85</v>
      </c>
      <c r="H2" s="3">
        <v>44804</v>
      </c>
      <c r="I2" s="2" t="s">
        <v>7</v>
      </c>
      <c r="J2" s="2" t="s">
        <v>9</v>
      </c>
    </row>
    <row r="3" spans="1:27" ht="14.4" x14ac:dyDescent="0.25">
      <c r="D3" s="4"/>
      <c r="E3" s="4"/>
      <c r="F3" s="4"/>
      <c r="G3" s="4"/>
      <c r="H3" s="4"/>
      <c r="I3" s="4"/>
      <c r="J3" s="4"/>
      <c r="K3" s="4"/>
    </row>
    <row r="4" spans="1:27" ht="14.4" x14ac:dyDescent="0.25">
      <c r="C4" s="4"/>
      <c r="D4" s="4"/>
      <c r="E4" s="4"/>
      <c r="F4" s="4"/>
      <c r="G4" s="4"/>
      <c r="H4" s="4"/>
      <c r="I4" s="4"/>
      <c r="J4" s="4"/>
      <c r="K4" s="4"/>
    </row>
    <row r="5" spans="1:27" ht="14.4" x14ac:dyDescent="0.25">
      <c r="C5" s="4"/>
      <c r="D5" s="4"/>
      <c r="E5" s="4"/>
      <c r="F5" s="4"/>
      <c r="G5" s="4"/>
      <c r="H5" s="4"/>
      <c r="I5" s="4"/>
      <c r="J5" s="4"/>
      <c r="K5" s="4"/>
    </row>
    <row r="13" spans="1:27" ht="69" customHeight="1" x14ac:dyDescent="0.3">
      <c r="A13" s="5"/>
      <c r="B13" s="6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13" r:id="rId1" xr:uid="{00000000-0004-0000-0000-000000000000}"/>
  </hyperlinks>
  <pageMargins left="0.7" right="0.7" top="0.75" bottom="0.75" header="0" footer="0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1" sqref="F1"/>
    </sheetView>
  </sheetViews>
  <sheetFormatPr baseColWidth="10" defaultColWidth="12.59765625" defaultRowHeight="15" customHeight="1" x14ac:dyDescent="0.25"/>
  <cols>
    <col min="1" max="1" width="14.69921875" customWidth="1"/>
    <col min="2" max="6" width="13.59765625" customWidth="1"/>
    <col min="7" max="16" width="10.09765625" customWidth="1"/>
    <col min="17" max="26" width="9.3984375" customWidth="1"/>
  </cols>
  <sheetData>
    <row r="1" spans="1:26" ht="72" x14ac:dyDescent="0.25">
      <c r="A1" s="8" t="s">
        <v>11</v>
      </c>
      <c r="B1" s="44" t="s">
        <v>12</v>
      </c>
      <c r="C1" s="9" t="s">
        <v>13</v>
      </c>
      <c r="D1" s="9" t="s">
        <v>14</v>
      </c>
      <c r="E1" s="9" t="s">
        <v>15</v>
      </c>
      <c r="F1" s="9" t="s">
        <v>551</v>
      </c>
      <c r="G1" s="44" t="s">
        <v>16</v>
      </c>
      <c r="H1" s="9" t="s">
        <v>17</v>
      </c>
      <c r="I1" s="9" t="s">
        <v>20</v>
      </c>
      <c r="J1" s="9" t="s">
        <v>18</v>
      </c>
      <c r="K1" s="9" t="s">
        <v>19</v>
      </c>
      <c r="L1" s="9" t="s">
        <v>22</v>
      </c>
      <c r="M1" s="9" t="s">
        <v>23</v>
      </c>
      <c r="N1" s="9" t="s">
        <v>461</v>
      </c>
      <c r="O1" s="9" t="s">
        <v>21</v>
      </c>
      <c r="P1" s="10" t="s">
        <v>24</v>
      </c>
    </row>
    <row r="2" spans="1:26" ht="14.4" x14ac:dyDescent="0.3">
      <c r="A2" s="11" t="s">
        <v>25</v>
      </c>
      <c r="B2" s="12">
        <v>1</v>
      </c>
      <c r="C2" s="12"/>
      <c r="D2" s="12"/>
      <c r="E2" s="12">
        <v>1</v>
      </c>
      <c r="F2" s="12"/>
      <c r="G2" s="12" t="s">
        <v>26</v>
      </c>
      <c r="H2" s="12" t="s">
        <v>27</v>
      </c>
      <c r="I2" s="12">
        <v>40</v>
      </c>
      <c r="J2" s="12" t="s">
        <v>28</v>
      </c>
      <c r="K2" s="12" t="s">
        <v>29</v>
      </c>
      <c r="L2" s="12" t="s">
        <v>32</v>
      </c>
      <c r="M2" s="13" t="s">
        <v>33</v>
      </c>
      <c r="N2" s="12" t="s">
        <v>30</v>
      </c>
      <c r="O2" s="12" t="s">
        <v>31</v>
      </c>
      <c r="P2" s="12" t="s">
        <v>34</v>
      </c>
    </row>
    <row r="3" spans="1:26" ht="14.4" x14ac:dyDescent="0.3">
      <c r="A3" s="11" t="s">
        <v>35</v>
      </c>
      <c r="B3" s="12"/>
      <c r="C3" s="12">
        <v>1</v>
      </c>
      <c r="D3" s="12"/>
      <c r="E3" s="12"/>
      <c r="F3" s="12"/>
      <c r="G3" s="12" t="s">
        <v>36</v>
      </c>
      <c r="H3" s="12" t="s">
        <v>37</v>
      </c>
      <c r="I3" s="12">
        <v>51</v>
      </c>
      <c r="J3" s="12" t="s">
        <v>38</v>
      </c>
      <c r="K3" s="12" t="s">
        <v>39</v>
      </c>
      <c r="L3" s="12" t="s">
        <v>32</v>
      </c>
      <c r="M3" s="13" t="s">
        <v>41</v>
      </c>
      <c r="N3" s="12" t="s">
        <v>30</v>
      </c>
      <c r="O3" s="12" t="s">
        <v>40</v>
      </c>
      <c r="P3" s="12" t="s">
        <v>42</v>
      </c>
    </row>
    <row r="4" spans="1:26" ht="14.4" x14ac:dyDescent="0.3">
      <c r="A4" s="7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26" ht="14.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6" ht="14.4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26" ht="14.4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26" ht="69" customHeight="1" x14ac:dyDescent="0.3">
      <c r="A8" s="5"/>
      <c r="B8" s="7" t="s">
        <v>44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26" ht="14.4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26" ht="14.4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26" ht="14.4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26" ht="14.4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26" ht="14.4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26" ht="14.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26" ht="14.4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14.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4.4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4.4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14.4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15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15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5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15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15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15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15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15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15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15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15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15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ht="15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15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ht="15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ht="15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15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ht="15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ht="15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ht="15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5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ht="15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ht="15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spans="1:16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spans="1:16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spans="1:16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spans="1:16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spans="1:16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spans="1:16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spans="1:16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spans="1:16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spans="1:16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spans="1:16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spans="1:16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spans="1:16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spans="1:16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spans="1:16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spans="1:16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spans="1:16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spans="1:16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spans="1:16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spans="1:16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spans="1:16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spans="1:16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spans="1:16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spans="1:16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spans="1:16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spans="1:16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spans="1:16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spans="1:16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spans="1:16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spans="1:16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spans="1:16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spans="1:16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spans="1:16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spans="1:16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spans="1:16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spans="1:16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spans="1:16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spans="1:16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spans="1:16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spans="1:16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spans="1:16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spans="1:16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spans="1:16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spans="1:16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spans="1:16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spans="1:16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spans="1:16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spans="1:16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spans="1:16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spans="1:16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spans="1:16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spans="1:16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spans="1:16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spans="1:16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spans="1:16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spans="1:16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spans="1:16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spans="1:16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 spans="1:16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spans="1:16" ht="15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spans="1:16" ht="15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spans="1:16" ht="15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spans="1:16" ht="15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spans="1:16" ht="15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spans="1:16" ht="15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spans="1:16" ht="15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spans="1:16" ht="15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spans="1:16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spans="1:16" ht="15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spans="1:16" ht="15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 spans="1:16" ht="15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spans="1:16" ht="15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spans="1:16" ht="15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spans="1:16" ht="15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spans="1:16" ht="15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spans="1:16" ht="15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spans="1:16" ht="15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spans="1:16" ht="15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 spans="1:16" ht="15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spans="1:16" ht="15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spans="1:16" ht="15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 spans="1:16" ht="15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</row>
    <row r="503" spans="1:16" ht="15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 spans="1:16" ht="15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 spans="1:16" ht="15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 spans="1:16" ht="15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</row>
    <row r="507" spans="1:16" ht="15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 spans="1:16" ht="15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 spans="1:16" ht="15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 spans="1:16" ht="15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</row>
    <row r="511" spans="1:16" ht="15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spans="1:16" ht="15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spans="1:16" ht="15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 spans="1:16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</row>
    <row r="515" spans="1:16" ht="15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 spans="1:16" ht="15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 spans="1:16" ht="15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spans="1:16" ht="15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</row>
    <row r="519" spans="1:16" ht="15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spans="1:16" ht="15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 spans="1:16" ht="15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 spans="1:16" ht="15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</row>
    <row r="523" spans="1:16" ht="15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spans="1:16" ht="15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 spans="1:16" ht="15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spans="1:16" ht="15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</row>
    <row r="527" spans="1:16" ht="15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 spans="1:16" ht="15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 spans="1:16" ht="15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spans="1:16" ht="15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</row>
    <row r="531" spans="1:16" ht="15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 spans="1:16" ht="15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 spans="1:16" ht="15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 spans="1:16" ht="15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</row>
    <row r="535" spans="1:16" ht="15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 spans="1:16" ht="15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 spans="1:16" ht="15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 spans="1:16" ht="15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</row>
    <row r="539" spans="1:16" ht="15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spans="1:16" ht="15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 spans="1:16" ht="15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spans="1:16" ht="15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 spans="1:16" ht="15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spans="1:16" ht="15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 spans="1:16" ht="15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 spans="1:16" ht="15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 spans="1:16" ht="15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 spans="1:16" ht="15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 spans="1:16" ht="15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 spans="1:16" ht="15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spans="1:16" ht="15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 spans="1:16" ht="15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 spans="1:16" ht="15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spans="1:16" ht="15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 spans="1:16" ht="15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 spans="1:16" ht="15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 spans="1:16" ht="15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spans="1:16" ht="15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 spans="1:16" ht="15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 spans="1:16" ht="15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spans="1:16" ht="15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 spans="1:16" ht="15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 spans="1:16" ht="15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 spans="1:16" ht="15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 spans="1:16" ht="15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spans="1:16" ht="15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 spans="1:16" ht="15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 spans="1:16" ht="15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 spans="1:16" ht="15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 spans="1:16" ht="15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 spans="1:16" ht="15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 spans="1:16" ht="15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 spans="1:16" ht="15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 spans="1:16" ht="15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spans="1:16" ht="15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 spans="1:16" ht="15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spans="1:16" ht="15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 spans="1:16" ht="15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 spans="1:16" ht="15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spans="1:16" ht="15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spans="1:16" ht="15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 spans="1:16" ht="15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 spans="1:16" ht="15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 spans="1:16" ht="15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 spans="1:16" ht="15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 spans="1:16" ht="15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 spans="1:16" ht="15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spans="1:16" ht="15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 spans="1:16" ht="15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 spans="1:16" ht="15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 spans="1:16" ht="15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 spans="1:16" ht="15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 spans="1:16" ht="15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 spans="1:16" ht="15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 spans="1:16" ht="15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 spans="1:16" ht="15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 spans="1:16" ht="15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spans="1:16" ht="15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spans="1:16" ht="15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 spans="1:16" ht="15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 spans="1:16" ht="15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spans="1:16" ht="15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 spans="1:16" ht="15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spans="1:16" ht="15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 spans="1:16" ht="15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 spans="1:16" ht="15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 spans="1:16" ht="15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 spans="1:16" ht="15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 spans="1:16" ht="15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 spans="1:16" ht="15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 spans="1:16" ht="15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spans="1:16" ht="15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 spans="1:16" ht="15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 spans="1:16" ht="15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 spans="1:16" ht="15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 spans="1:16" ht="15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spans="1:16" ht="15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 spans="1:16" ht="15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spans="1:16" ht="15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spans="1:16" ht="15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 spans="1:16" ht="15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 spans="1:16" ht="15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 spans="1:16" ht="15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spans="1:16" ht="15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 spans="1:16" ht="15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 spans="1:16" ht="15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</row>
    <row r="627" spans="1:16" ht="15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</row>
    <row r="628" spans="1:16" ht="15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</row>
    <row r="629" spans="1:16" ht="15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</row>
    <row r="630" spans="1:16" ht="15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</row>
    <row r="631" spans="1:16" ht="15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 spans="1:16" ht="15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 spans="1:16" ht="15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 spans="1:16" ht="15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spans="1:16" ht="15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 spans="1:16" ht="15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 spans="1:16" ht="15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 spans="1:16" ht="15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spans="1:16" ht="15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 spans="1:16" ht="15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 spans="1:16" ht="15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 spans="1:16" ht="15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 spans="1:16" ht="15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 spans="1:16" ht="15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 spans="1:16" ht="15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 spans="1:16" ht="15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</row>
    <row r="647" spans="1:16" ht="15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 spans="1:16" ht="15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 spans="1:16" ht="15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spans="1:16" ht="15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</row>
    <row r="651" spans="1:16" ht="15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 spans="1:16" ht="15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spans="1:16" ht="15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 spans="1:16" ht="15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</row>
    <row r="655" spans="1:16" ht="15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 spans="1:16" ht="15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 spans="1:16" ht="15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 spans="1:16" ht="15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</row>
    <row r="659" spans="1:16" ht="15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spans="1:16" ht="15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 spans="1:16" ht="15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spans="1:16" ht="15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</row>
    <row r="663" spans="1:16" ht="15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 spans="1:16" ht="15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 spans="1:16" ht="15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 spans="1:16" ht="15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</row>
    <row r="667" spans="1:16" ht="15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 spans="1:16" ht="15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 spans="1:16" ht="15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 spans="1:16" ht="15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 spans="1:16" ht="15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spans="1:16" ht="15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 spans="1:16" ht="15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 spans="1:16" ht="15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 spans="1:16" ht="15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 spans="1:16" ht="15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spans="1:16" ht="15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 spans="1:16" ht="15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spans="1:16" ht="15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 spans="1:16" ht="15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 spans="1:16" ht="15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 spans="1:16" ht="15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</row>
    <row r="683" spans="1:16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 spans="1:16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 spans="1:16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 spans="1:16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</row>
    <row r="687" spans="1:16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 spans="1:16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 spans="1:16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 spans="1:16" ht="15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</row>
    <row r="691" spans="1:16" ht="15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 spans="1:16" ht="15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 spans="1:16" ht="15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spans="1:16" ht="15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</row>
    <row r="695" spans="1:16" ht="15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spans="1:16" ht="15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spans="1:16" ht="15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spans="1:16" ht="15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</row>
    <row r="699" spans="1:16" ht="15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 spans="1:16" ht="15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 spans="1:16" ht="15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 spans="1:16" ht="15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 spans="1:16" ht="15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 spans="1:16" ht="15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spans="1:16" ht="15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 spans="1:16" ht="15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spans="1:16" ht="15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 spans="1:16" ht="15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spans="1:16" ht="15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spans="1:16" ht="15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spans="1:16" ht="15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 spans="1:16" ht="15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 spans="1:16" ht="15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 spans="1:16" ht="15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 spans="1:16" ht="15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spans="1:16" ht="15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 spans="1:16" ht="15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 spans="1:16" ht="15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 spans="1:16" ht="15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 spans="1:16" ht="15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spans="1:16" ht="15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 spans="1:16" ht="15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 spans="1:16" ht="15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 spans="1:16" ht="15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 spans="1:16" ht="15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 spans="1:16" ht="15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 spans="1:16" ht="15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spans="1:16" ht="15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 spans="1:16" ht="15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 spans="1:16" ht="15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 spans="1:16" ht="15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 spans="1:16" ht="15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 spans="1:16" ht="15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 spans="1:16" ht="15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 spans="1:16" ht="15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 spans="1:16" ht="15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spans="1:16" ht="15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 spans="1:16" ht="15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spans="1:16" ht="15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spans="1:16" ht="15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spans="1:16" ht="15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 spans="1:16" ht="15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</row>
    <row r="743" spans="1:16" ht="15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 spans="1:16" ht="15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 spans="1:16" ht="15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spans="1:16" ht="15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</row>
    <row r="747" spans="1:16" ht="15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 spans="1:16" ht="15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 spans="1:16" ht="15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 spans="1:16" ht="15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</row>
    <row r="751" spans="1:16" ht="15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</row>
    <row r="752" spans="1:16" ht="15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</row>
    <row r="753" spans="1:16" ht="15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</row>
    <row r="754" spans="1:16" ht="15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</row>
    <row r="755" spans="1:16" ht="15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</row>
    <row r="756" spans="1:16" ht="15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 spans="1:16" ht="15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 spans="1:16" ht="15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 spans="1:16" ht="15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spans="1:16" ht="15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 spans="1:16" ht="15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 spans="1:16" ht="15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 spans="1:16" ht="15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 spans="1:16" ht="15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 spans="1:16" ht="15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 spans="1:16" ht="15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 spans="1:16" ht="15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 spans="1:16" ht="15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 spans="1:16" ht="15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 spans="1:16" ht="15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 spans="1:16" ht="15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 spans="1:16" ht="15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 spans="1:16" ht="15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 spans="1:16" ht="15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 spans="1:16" ht="15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 spans="1:16" ht="15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 spans="1:16" ht="15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 spans="1:16" ht="15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 spans="1:16" ht="15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 spans="1:16" ht="15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 spans="1:16" ht="15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 spans="1:16" ht="15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spans="1:16" ht="15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 spans="1:16" ht="15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 spans="1:16" ht="15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spans="1:16" ht="15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 spans="1:16" ht="15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spans="1:16" ht="15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 spans="1:16" ht="15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 spans="1:16" ht="15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 spans="1:16" ht="15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 spans="1:16" ht="15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 spans="1:16" ht="15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 spans="1:16" ht="15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 spans="1:16" ht="15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 spans="1:16" ht="15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 spans="1:16" ht="15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  <row r="798" spans="1:16" ht="15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</row>
    <row r="799" spans="1:16" ht="15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</row>
    <row r="800" spans="1:16" ht="15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</row>
    <row r="801" spans="1:16" ht="15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</row>
    <row r="802" spans="1:16" ht="15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</row>
    <row r="803" spans="1:16" ht="15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</row>
    <row r="804" spans="1:16" ht="15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</row>
    <row r="805" spans="1:16" ht="15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</row>
    <row r="806" spans="1:16" ht="15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</row>
    <row r="807" spans="1:16" ht="15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</row>
    <row r="808" spans="1:16" ht="15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</row>
    <row r="809" spans="1:16" ht="15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</row>
    <row r="810" spans="1:16" ht="15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</row>
    <row r="811" spans="1:16" ht="15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</row>
    <row r="812" spans="1:16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</row>
    <row r="813" spans="1:16" ht="15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</row>
    <row r="814" spans="1:16" ht="15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</row>
    <row r="815" spans="1:16" ht="15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</row>
    <row r="816" spans="1:16" ht="15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</row>
    <row r="817" spans="1:16" ht="15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</row>
    <row r="818" spans="1:16" ht="15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</row>
    <row r="819" spans="1:16" ht="15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 spans="1:16" ht="15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</row>
    <row r="821" spans="1:16" ht="15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</row>
    <row r="822" spans="1:16" ht="15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</row>
    <row r="823" spans="1:16" ht="15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</row>
    <row r="824" spans="1:16" ht="15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</row>
    <row r="825" spans="1:16" ht="15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</row>
    <row r="826" spans="1:16" ht="15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</row>
    <row r="827" spans="1:16" ht="15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</row>
    <row r="828" spans="1:16" ht="15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</row>
    <row r="829" spans="1:16" ht="15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</row>
    <row r="830" spans="1:16" ht="15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</row>
    <row r="831" spans="1:16" ht="15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</row>
    <row r="832" spans="1:16" ht="15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</row>
    <row r="833" spans="1:16" ht="15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</row>
    <row r="834" spans="1:16" ht="15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</row>
    <row r="835" spans="1:16" ht="15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</row>
    <row r="836" spans="1:16" ht="15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 spans="1:16" ht="15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</row>
    <row r="838" spans="1:16" ht="15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</row>
    <row r="839" spans="1:16" ht="15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</row>
    <row r="840" spans="1:16" ht="15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</row>
    <row r="841" spans="1:16" ht="15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</row>
    <row r="842" spans="1:16" ht="15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</row>
    <row r="843" spans="1:16" ht="15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</row>
    <row r="844" spans="1:16" ht="15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</row>
    <row r="845" spans="1:16" ht="15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</row>
    <row r="846" spans="1:16" ht="15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</row>
    <row r="847" spans="1:16" ht="15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</row>
    <row r="848" spans="1:16" ht="15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</row>
    <row r="849" spans="1:16" ht="15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</row>
    <row r="850" spans="1:16" ht="15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</row>
    <row r="851" spans="1:16" ht="15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</row>
    <row r="852" spans="1:16" ht="15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</row>
    <row r="853" spans="1:16" ht="15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</row>
    <row r="854" spans="1:16" ht="15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</row>
    <row r="855" spans="1:16" ht="15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</row>
    <row r="856" spans="1:16" ht="15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spans="1:16" ht="15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</row>
    <row r="858" spans="1:16" ht="15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</row>
    <row r="859" spans="1:16" ht="15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</row>
    <row r="860" spans="1:16" ht="15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</row>
    <row r="861" spans="1:16" ht="15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</row>
    <row r="862" spans="1:16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</row>
    <row r="863" spans="1:16" ht="15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</row>
    <row r="864" spans="1:16" ht="15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</row>
    <row r="865" spans="1:16" ht="15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</row>
    <row r="866" spans="1:16" ht="15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</row>
    <row r="867" spans="1:16" ht="15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</row>
    <row r="868" spans="1:16" ht="15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</row>
    <row r="869" spans="1:16" ht="15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</row>
    <row r="870" spans="1:16" ht="15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</row>
    <row r="871" spans="1:16" ht="15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</row>
    <row r="872" spans="1:16" ht="15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</row>
    <row r="873" spans="1:16" ht="15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</row>
    <row r="874" spans="1:16" ht="15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</row>
    <row r="875" spans="1:16" ht="15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</row>
    <row r="876" spans="1:16" ht="15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</row>
    <row r="877" spans="1:16" ht="15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</row>
    <row r="878" spans="1:16" ht="15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</row>
    <row r="879" spans="1:16" ht="15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</row>
    <row r="880" spans="1:16" ht="15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</row>
    <row r="881" spans="1:16" ht="15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</row>
    <row r="882" spans="1:16" ht="15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</row>
    <row r="883" spans="1:16" ht="15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</row>
    <row r="884" spans="1:16" ht="15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</row>
    <row r="885" spans="1:16" ht="15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</row>
    <row r="886" spans="1:16" ht="15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</row>
    <row r="887" spans="1:16" ht="15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</row>
    <row r="888" spans="1:16" ht="15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</row>
    <row r="889" spans="1:16" ht="15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</row>
    <row r="890" spans="1:16" ht="15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</row>
    <row r="891" spans="1:16" ht="15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</row>
    <row r="892" spans="1:16" ht="15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</row>
    <row r="893" spans="1:16" ht="15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</row>
    <row r="894" spans="1:16" ht="15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</row>
    <row r="895" spans="1:16" ht="15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</row>
    <row r="896" spans="1:16" ht="15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</row>
    <row r="897" spans="1:16" ht="15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</row>
    <row r="898" spans="1:16" ht="15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</row>
    <row r="899" spans="1:16" ht="15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</row>
    <row r="900" spans="1:16" ht="15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</row>
    <row r="901" spans="1:16" ht="15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</row>
    <row r="902" spans="1:16" ht="15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</row>
    <row r="903" spans="1:16" ht="15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</row>
    <row r="904" spans="1:16" ht="15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</row>
    <row r="905" spans="1:16" ht="15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</row>
    <row r="906" spans="1:16" ht="15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</row>
    <row r="907" spans="1:16" ht="15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</row>
    <row r="908" spans="1:16" ht="15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</row>
    <row r="909" spans="1:16" ht="15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</row>
    <row r="910" spans="1:16" ht="15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</row>
    <row r="911" spans="1:16" ht="15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</row>
    <row r="912" spans="1:16" ht="15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</row>
    <row r="913" spans="1:16" ht="15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</row>
    <row r="914" spans="1:16" ht="15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</row>
    <row r="915" spans="1:16" ht="15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</row>
    <row r="916" spans="1:16" ht="15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</row>
    <row r="917" spans="1:16" ht="15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</row>
    <row r="918" spans="1:16" ht="15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</row>
    <row r="919" spans="1:16" ht="15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</row>
    <row r="920" spans="1:16" ht="15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</row>
    <row r="921" spans="1:16" ht="15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 spans="1:16" ht="15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</row>
    <row r="923" spans="1:16" ht="15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</row>
    <row r="924" spans="1:16" ht="15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</row>
    <row r="925" spans="1:16" ht="15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</row>
    <row r="926" spans="1:16" ht="15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</row>
    <row r="927" spans="1:16" ht="15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</row>
    <row r="928" spans="1:16" ht="15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</row>
    <row r="929" spans="1:16" ht="15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spans="1:16" ht="15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 spans="1:16" ht="15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</row>
    <row r="932" spans="1:16" ht="15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 spans="1:16" ht="15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</row>
    <row r="934" spans="1:16" ht="15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</row>
    <row r="935" spans="1:16" ht="15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 spans="1:16" ht="15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 spans="1:16" ht="15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 spans="1:16" ht="15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</row>
    <row r="939" spans="1:16" ht="15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</row>
    <row r="940" spans="1:16" ht="15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</row>
    <row r="941" spans="1:16" ht="15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</row>
    <row r="942" spans="1:16" ht="15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</row>
    <row r="943" spans="1:16" ht="15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</row>
    <row r="944" spans="1:16" ht="15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</row>
    <row r="945" spans="1:16" ht="15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</row>
    <row r="946" spans="1:16" ht="15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</row>
    <row r="947" spans="1:16" ht="15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</row>
    <row r="948" spans="1:16" ht="15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</row>
    <row r="949" spans="1:16" ht="15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</row>
    <row r="950" spans="1:16" ht="15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</row>
    <row r="951" spans="1:16" ht="15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</row>
    <row r="952" spans="1:16" ht="15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</row>
    <row r="953" spans="1:16" ht="15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</row>
    <row r="954" spans="1:16" ht="15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</row>
    <row r="955" spans="1:16" ht="15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</row>
    <row r="956" spans="1:16" ht="15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</row>
    <row r="957" spans="1:16" ht="15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</row>
    <row r="958" spans="1:16" ht="15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</row>
    <row r="959" spans="1:16" ht="15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</row>
    <row r="960" spans="1:16" ht="15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</row>
    <row r="961" spans="1:16" ht="15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</row>
    <row r="962" spans="1:16" ht="15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</row>
    <row r="963" spans="1:16" ht="15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</row>
    <row r="964" spans="1:16" ht="15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</row>
    <row r="965" spans="1:16" ht="15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</row>
    <row r="966" spans="1:16" ht="15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 spans="1:16" ht="15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</row>
    <row r="968" spans="1:16" ht="15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</row>
    <row r="969" spans="1:16" ht="15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</row>
    <row r="970" spans="1:16" ht="15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</row>
    <row r="971" spans="1:16" ht="15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</row>
    <row r="972" spans="1:16" ht="15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</row>
    <row r="973" spans="1:16" ht="15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</row>
    <row r="974" spans="1:16" ht="15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</row>
    <row r="975" spans="1:16" ht="15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</row>
    <row r="976" spans="1:16" ht="15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</row>
    <row r="977" spans="1:16" ht="15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</row>
    <row r="978" spans="1:16" ht="15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</row>
    <row r="979" spans="1:16" ht="15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</row>
    <row r="980" spans="1:16" ht="15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</row>
    <row r="981" spans="1:16" ht="15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</row>
    <row r="982" spans="1:16" ht="15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</row>
    <row r="983" spans="1:16" ht="15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</row>
    <row r="984" spans="1:16" ht="15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</row>
    <row r="985" spans="1:16" ht="15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</row>
    <row r="986" spans="1:16" ht="15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</row>
    <row r="987" spans="1:16" ht="15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</row>
    <row r="988" spans="1:16" ht="15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</row>
    <row r="989" spans="1:16" ht="15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</row>
    <row r="990" spans="1:16" ht="15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</row>
    <row r="991" spans="1:16" ht="15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</row>
    <row r="992" spans="1:16" ht="15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</row>
    <row r="993" spans="1:16" ht="15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</row>
    <row r="994" spans="1:16" ht="15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</row>
    <row r="995" spans="1:16" ht="15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</row>
    <row r="996" spans="1:16" ht="15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</row>
    <row r="997" spans="1:16" ht="15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</row>
    <row r="998" spans="1:16" ht="15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</row>
    <row r="999" spans="1:16" ht="15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</row>
    <row r="1000" spans="1:16" ht="15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</row>
  </sheetData>
  <hyperlinks>
    <hyperlink ref="M2" r:id="rId1" xr:uid="{00000000-0004-0000-0100-000000000000}"/>
    <hyperlink ref="M3" r:id="rId2" xr:uid="{00000000-0004-0000-0100-000001000000}"/>
  </hyperlinks>
  <pageMargins left="0.7" right="0.7" top="0.75" bottom="0.75" header="0" footer="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1"/>
  <sheetViews>
    <sheetView topLeftCell="A19" zoomScale="80" zoomScaleNormal="80" workbookViewId="0">
      <pane xSplit="1" topLeftCell="B1" activePane="topRight" state="frozen"/>
      <selection pane="topRight" activeCell="D20" sqref="D20"/>
    </sheetView>
  </sheetViews>
  <sheetFormatPr baseColWidth="10" defaultColWidth="12.59765625" defaultRowHeight="15" customHeight="1" x14ac:dyDescent="0.25"/>
  <cols>
    <col min="1" max="30" width="15.09765625" customWidth="1"/>
    <col min="31" max="32" width="10.09765625" customWidth="1"/>
    <col min="33" max="33" width="12.59765625" customWidth="1"/>
  </cols>
  <sheetData>
    <row r="1" spans="1:33" ht="14.4" x14ac:dyDescent="0.3">
      <c r="A1" s="98"/>
      <c r="B1" s="86" t="s">
        <v>45</v>
      </c>
      <c r="C1" s="45" t="s">
        <v>45</v>
      </c>
      <c r="D1" s="108" t="s">
        <v>45</v>
      </c>
      <c r="E1" s="119" t="s">
        <v>45</v>
      </c>
      <c r="F1" s="119" t="s">
        <v>45</v>
      </c>
      <c r="G1" s="119" t="s">
        <v>45</v>
      </c>
      <c r="H1" s="119" t="s">
        <v>45</v>
      </c>
      <c r="I1" s="119" t="s">
        <v>45</v>
      </c>
      <c r="J1" s="119" t="s">
        <v>45</v>
      </c>
      <c r="K1" s="134" t="s">
        <v>45</v>
      </c>
      <c r="L1" s="143" t="s">
        <v>46</v>
      </c>
      <c r="M1" s="139" t="s">
        <v>46</v>
      </c>
      <c r="N1" s="139" t="s">
        <v>46</v>
      </c>
      <c r="O1" s="139" t="s">
        <v>46</v>
      </c>
      <c r="P1" s="139" t="s">
        <v>46</v>
      </c>
      <c r="Q1" s="139" t="s">
        <v>46</v>
      </c>
      <c r="R1" s="139" t="s">
        <v>46</v>
      </c>
      <c r="S1" s="139" t="s">
        <v>46</v>
      </c>
      <c r="T1" s="80" t="s">
        <v>46</v>
      </c>
      <c r="U1" s="206" t="s">
        <v>47</v>
      </c>
      <c r="V1" s="207" t="s">
        <v>47</v>
      </c>
      <c r="W1" s="207" t="s">
        <v>47</v>
      </c>
      <c r="X1" s="207" t="s">
        <v>47</v>
      </c>
      <c r="Y1" s="207" t="s">
        <v>47</v>
      </c>
      <c r="Z1" s="208" t="s">
        <v>47</v>
      </c>
      <c r="AA1" s="230" t="s">
        <v>48</v>
      </c>
      <c r="AB1" s="231"/>
      <c r="AC1" s="231"/>
      <c r="AD1" s="232"/>
      <c r="AE1" s="227" t="s">
        <v>528</v>
      </c>
      <c r="AF1" s="228"/>
      <c r="AG1" s="229"/>
    </row>
    <row r="2" spans="1:33" ht="15" customHeight="1" x14ac:dyDescent="0.25">
      <c r="A2" s="122" t="s">
        <v>49</v>
      </c>
      <c r="B2" s="85">
        <v>1</v>
      </c>
      <c r="C2" s="84">
        <v>2</v>
      </c>
      <c r="D2" s="87">
        <v>3</v>
      </c>
      <c r="E2" s="87">
        <v>4</v>
      </c>
      <c r="F2" s="87">
        <v>5</v>
      </c>
      <c r="G2" s="87">
        <v>6</v>
      </c>
      <c r="H2" s="87">
        <v>7</v>
      </c>
      <c r="I2" s="87">
        <v>8</v>
      </c>
      <c r="J2" s="87">
        <v>9</v>
      </c>
      <c r="K2" s="135">
        <v>10</v>
      </c>
      <c r="L2" s="48">
        <v>11</v>
      </c>
      <c r="M2" s="87">
        <v>12</v>
      </c>
      <c r="N2" s="87">
        <v>13</v>
      </c>
      <c r="O2" s="200">
        <v>14</v>
      </c>
      <c r="P2" s="200">
        <v>15</v>
      </c>
      <c r="Q2" s="87">
        <v>16</v>
      </c>
      <c r="R2" s="87">
        <v>17</v>
      </c>
      <c r="S2" s="87">
        <v>18</v>
      </c>
      <c r="T2" s="135">
        <v>19</v>
      </c>
      <c r="U2" s="87">
        <v>20</v>
      </c>
      <c r="V2" s="87">
        <v>21</v>
      </c>
      <c r="W2" s="87">
        <v>22</v>
      </c>
      <c r="X2" s="87">
        <v>23</v>
      </c>
      <c r="Y2" s="87">
        <v>24</v>
      </c>
      <c r="Z2" s="72">
        <v>25</v>
      </c>
      <c r="AA2" s="164">
        <v>26</v>
      </c>
      <c r="AB2" s="183">
        <v>27</v>
      </c>
      <c r="AC2" s="183">
        <v>28</v>
      </c>
      <c r="AD2" s="165">
        <v>29</v>
      </c>
      <c r="AE2" s="163">
        <v>30</v>
      </c>
      <c r="AF2" s="183">
        <v>31</v>
      </c>
      <c r="AG2" s="177">
        <v>32</v>
      </c>
    </row>
    <row r="3" spans="1:33" ht="43.2" x14ac:dyDescent="0.25">
      <c r="A3" s="123" t="s">
        <v>50</v>
      </c>
      <c r="B3" s="85" t="s">
        <v>490</v>
      </c>
      <c r="C3" s="84" t="s">
        <v>52</v>
      </c>
      <c r="D3" s="87" t="s">
        <v>475</v>
      </c>
      <c r="E3" s="198" t="s">
        <v>459</v>
      </c>
      <c r="F3" s="87" t="s">
        <v>53</v>
      </c>
      <c r="G3" s="137" t="s">
        <v>476</v>
      </c>
      <c r="H3" s="137" t="s">
        <v>542</v>
      </c>
      <c r="I3" s="137" t="s">
        <v>477</v>
      </c>
      <c r="J3" s="198" t="s">
        <v>478</v>
      </c>
      <c r="K3" s="199" t="s">
        <v>479</v>
      </c>
      <c r="L3" s="209" t="s">
        <v>480</v>
      </c>
      <c r="M3" s="198" t="s">
        <v>430</v>
      </c>
      <c r="N3" s="137" t="s">
        <v>481</v>
      </c>
      <c r="O3" s="198" t="s">
        <v>482</v>
      </c>
      <c r="P3" s="198" t="s">
        <v>483</v>
      </c>
      <c r="Q3" s="198" t="s">
        <v>484</v>
      </c>
      <c r="R3" s="198" t="s">
        <v>485</v>
      </c>
      <c r="S3" s="137" t="s">
        <v>486</v>
      </c>
      <c r="T3" s="201" t="s">
        <v>445</v>
      </c>
      <c r="U3" s="137" t="s">
        <v>64</v>
      </c>
      <c r="V3" s="137" t="s">
        <v>487</v>
      </c>
      <c r="W3" s="137" t="s">
        <v>65</v>
      </c>
      <c r="X3" s="198" t="s">
        <v>488</v>
      </c>
      <c r="Y3" s="198" t="s">
        <v>452</v>
      </c>
      <c r="Z3" s="203" t="s">
        <v>489</v>
      </c>
      <c r="AA3" s="164" t="s">
        <v>69</v>
      </c>
      <c r="AB3" s="183" t="s">
        <v>70</v>
      </c>
      <c r="AC3" s="183" t="s">
        <v>71</v>
      </c>
      <c r="AD3" s="165" t="s">
        <v>72</v>
      </c>
      <c r="AE3" s="164" t="s">
        <v>76</v>
      </c>
      <c r="AF3" s="184" t="s">
        <v>77</v>
      </c>
      <c r="AG3" s="178" t="s">
        <v>78</v>
      </c>
    </row>
    <row r="4" spans="1:33" ht="102" customHeight="1" x14ac:dyDescent="0.25">
      <c r="A4" s="124" t="s">
        <v>79</v>
      </c>
      <c r="B4" s="95" t="s">
        <v>80</v>
      </c>
      <c r="C4" s="94" t="s">
        <v>81</v>
      </c>
      <c r="D4" s="93" t="s">
        <v>82</v>
      </c>
      <c r="E4" s="93" t="s">
        <v>493</v>
      </c>
      <c r="F4" s="93" t="s">
        <v>83</v>
      </c>
      <c r="G4" s="93" t="s">
        <v>84</v>
      </c>
      <c r="H4" s="93" t="s">
        <v>537</v>
      </c>
      <c r="I4" s="120" t="s">
        <v>498</v>
      </c>
      <c r="J4" s="93" t="s">
        <v>502</v>
      </c>
      <c r="K4" s="136" t="s">
        <v>503</v>
      </c>
      <c r="L4" s="8" t="s">
        <v>505</v>
      </c>
      <c r="M4" s="93" t="s">
        <v>507</v>
      </c>
      <c r="N4" s="93" t="s">
        <v>509</v>
      </c>
      <c r="O4" s="93" t="s">
        <v>510</v>
      </c>
      <c r="P4" s="93" t="s">
        <v>511</v>
      </c>
      <c r="Q4" s="93" t="s">
        <v>512</v>
      </c>
      <c r="R4" s="93" t="s">
        <v>513</v>
      </c>
      <c r="S4" s="93" t="s">
        <v>514</v>
      </c>
      <c r="T4" s="136" t="s">
        <v>515</v>
      </c>
      <c r="U4" s="190" t="s">
        <v>520</v>
      </c>
      <c r="V4" s="93" t="s">
        <v>516</v>
      </c>
      <c r="W4" s="93" t="s">
        <v>517</v>
      </c>
      <c r="X4" s="93" t="s">
        <v>545</v>
      </c>
      <c r="Y4" s="93" t="s">
        <v>85</v>
      </c>
      <c r="Z4" s="188" t="s">
        <v>519</v>
      </c>
      <c r="AA4" s="162" t="s">
        <v>86</v>
      </c>
      <c r="AB4" s="187" t="s">
        <v>87</v>
      </c>
      <c r="AC4" s="187" t="s">
        <v>88</v>
      </c>
      <c r="AD4" s="166" t="s">
        <v>89</v>
      </c>
      <c r="AE4" s="182"/>
      <c r="AF4" s="93"/>
      <c r="AG4" s="97"/>
    </row>
    <row r="5" spans="1:33" ht="134.25" customHeight="1" x14ac:dyDescent="0.25">
      <c r="A5" s="99" t="s">
        <v>90</v>
      </c>
      <c r="B5" s="96" t="s">
        <v>527</v>
      </c>
      <c r="C5" s="94" t="s">
        <v>463</v>
      </c>
      <c r="D5" s="93" t="s">
        <v>464</v>
      </c>
      <c r="E5" s="93" t="s">
        <v>465</v>
      </c>
      <c r="F5" s="93" t="s">
        <v>466</v>
      </c>
      <c r="G5" s="93" t="s">
        <v>91</v>
      </c>
      <c r="H5" s="93" t="s">
        <v>543</v>
      </c>
      <c r="I5" s="93" t="s">
        <v>467</v>
      </c>
      <c r="J5" s="120" t="s">
        <v>92</v>
      </c>
      <c r="K5" s="136" t="s">
        <v>468</v>
      </c>
      <c r="L5" s="144" t="s">
        <v>469</v>
      </c>
      <c r="M5" s="120" t="s">
        <v>431</v>
      </c>
      <c r="N5" s="120" t="s">
        <v>525</v>
      </c>
      <c r="O5" s="120" t="s">
        <v>438</v>
      </c>
      <c r="P5" s="140" t="s">
        <v>526</v>
      </c>
      <c r="Q5" s="120" t="s">
        <v>472</v>
      </c>
      <c r="R5" s="120" t="s">
        <v>443</v>
      </c>
      <c r="S5" s="120" t="s">
        <v>450</v>
      </c>
      <c r="T5" s="149" t="s">
        <v>444</v>
      </c>
      <c r="U5" s="138" t="s">
        <v>522</v>
      </c>
      <c r="V5" s="140" t="s">
        <v>521</v>
      </c>
      <c r="W5" s="93" t="s">
        <v>93</v>
      </c>
      <c r="X5" s="93" t="s">
        <v>94</v>
      </c>
      <c r="Y5" s="140" t="s">
        <v>474</v>
      </c>
      <c r="Z5" s="189" t="s">
        <v>547</v>
      </c>
      <c r="AA5" s="17" t="s">
        <v>95</v>
      </c>
      <c r="AB5" s="185" t="s">
        <v>96</v>
      </c>
      <c r="AC5" s="185" t="s">
        <v>97</v>
      </c>
      <c r="AD5" s="167" t="s">
        <v>98</v>
      </c>
      <c r="AE5" s="173" t="s">
        <v>99</v>
      </c>
      <c r="AF5" s="185" t="s">
        <v>100</v>
      </c>
      <c r="AG5" s="167" t="s">
        <v>101</v>
      </c>
    </row>
    <row r="6" spans="1:33" ht="234.75" customHeight="1" x14ac:dyDescent="0.25">
      <c r="A6" s="99" t="s">
        <v>102</v>
      </c>
      <c r="B6" s="95" t="s">
        <v>103</v>
      </c>
      <c r="C6" s="94" t="s">
        <v>104</v>
      </c>
      <c r="D6" s="93" t="s">
        <v>491</v>
      </c>
      <c r="E6" s="93" t="s">
        <v>492</v>
      </c>
      <c r="F6" s="93" t="s">
        <v>105</v>
      </c>
      <c r="G6" s="93" t="s">
        <v>496</v>
      </c>
      <c r="H6" s="93" t="s">
        <v>539</v>
      </c>
      <c r="I6" s="93" t="s">
        <v>497</v>
      </c>
      <c r="J6" s="93" t="s">
        <v>499</v>
      </c>
      <c r="K6" s="97" t="s">
        <v>504</v>
      </c>
      <c r="L6" s="144" t="s">
        <v>506</v>
      </c>
      <c r="M6" s="120" t="s">
        <v>508</v>
      </c>
      <c r="N6" s="120" t="s">
        <v>508</v>
      </c>
      <c r="O6" s="120" t="s">
        <v>508</v>
      </c>
      <c r="P6" s="120" t="s">
        <v>508</v>
      </c>
      <c r="Q6" s="120" t="s">
        <v>508</v>
      </c>
      <c r="R6" s="217"/>
      <c r="S6" s="216"/>
      <c r="T6" s="120" t="s">
        <v>508</v>
      </c>
      <c r="U6" s="190" t="s">
        <v>106</v>
      </c>
      <c r="V6" s="120" t="s">
        <v>523</v>
      </c>
      <c r="W6" s="93" t="s">
        <v>518</v>
      </c>
      <c r="X6" s="93" t="s">
        <v>106</v>
      </c>
      <c r="Y6" s="93" t="s">
        <v>106</v>
      </c>
      <c r="Z6" s="73" t="s">
        <v>106</v>
      </c>
      <c r="AA6" s="162" t="s">
        <v>106</v>
      </c>
      <c r="AB6" s="187" t="s">
        <v>106</v>
      </c>
      <c r="AC6" s="187" t="s">
        <v>106</v>
      </c>
      <c r="AD6" s="81" t="s">
        <v>106</v>
      </c>
      <c r="AE6" s="173" t="s">
        <v>107</v>
      </c>
      <c r="AF6" s="187" t="s">
        <v>107</v>
      </c>
      <c r="AG6" s="167" t="s">
        <v>107</v>
      </c>
    </row>
    <row r="7" spans="1:33" ht="108.75" customHeight="1" x14ac:dyDescent="0.25">
      <c r="A7" s="212" t="s">
        <v>494</v>
      </c>
      <c r="B7" s="214" t="s">
        <v>495</v>
      </c>
      <c r="C7" s="214" t="s">
        <v>495</v>
      </c>
      <c r="D7" s="93" t="s">
        <v>501</v>
      </c>
      <c r="E7" s="214" t="s">
        <v>495</v>
      </c>
      <c r="F7" s="214" t="s">
        <v>495</v>
      </c>
      <c r="G7" s="93" t="s">
        <v>501</v>
      </c>
      <c r="H7" s="93" t="s">
        <v>501</v>
      </c>
      <c r="I7" s="93" t="s">
        <v>501</v>
      </c>
      <c r="J7" s="93" t="s">
        <v>500</v>
      </c>
      <c r="K7" s="215" t="s">
        <v>495</v>
      </c>
      <c r="L7" s="214" t="s">
        <v>495</v>
      </c>
      <c r="M7" s="216"/>
      <c r="N7" s="93" t="s">
        <v>501</v>
      </c>
      <c r="O7" s="216"/>
      <c r="P7" s="216"/>
      <c r="Q7" s="93" t="s">
        <v>501</v>
      </c>
      <c r="R7" s="216"/>
      <c r="S7" s="216"/>
      <c r="T7" s="218"/>
      <c r="U7" s="221" t="s">
        <v>501</v>
      </c>
      <c r="V7" s="222" t="s">
        <v>495</v>
      </c>
      <c r="W7" s="214" t="s">
        <v>495</v>
      </c>
      <c r="X7" s="216"/>
      <c r="Y7" s="93" t="s">
        <v>501</v>
      </c>
      <c r="Z7" s="218"/>
      <c r="AA7" s="220"/>
      <c r="AB7" s="216"/>
      <c r="AC7" s="216"/>
      <c r="AD7" s="218"/>
      <c r="AE7" s="173"/>
      <c r="AF7" s="187" t="s">
        <v>495</v>
      </c>
      <c r="AG7" s="167" t="s">
        <v>495</v>
      </c>
    </row>
    <row r="8" spans="1:33" ht="77.25" customHeight="1" x14ac:dyDescent="0.25">
      <c r="A8" s="125" t="s">
        <v>108</v>
      </c>
      <c r="B8" s="100" t="s">
        <v>109</v>
      </c>
      <c r="C8" s="101" t="s">
        <v>109</v>
      </c>
      <c r="D8" s="109" t="s">
        <v>110</v>
      </c>
      <c r="E8" s="109" t="s">
        <v>109</v>
      </c>
      <c r="F8" s="109" t="s">
        <v>111</v>
      </c>
      <c r="G8" s="109" t="s">
        <v>112</v>
      </c>
      <c r="H8" s="109" t="s">
        <v>113</v>
      </c>
      <c r="I8" s="109" t="s">
        <v>535</v>
      </c>
      <c r="J8" s="109" t="s">
        <v>114</v>
      </c>
      <c r="K8" s="133" t="s">
        <v>462</v>
      </c>
      <c r="L8" s="145" t="s">
        <v>115</v>
      </c>
      <c r="M8" s="109" t="s">
        <v>432</v>
      </c>
      <c r="N8" s="109" t="s">
        <v>529</v>
      </c>
      <c r="O8" s="109" t="s">
        <v>116</v>
      </c>
      <c r="P8" s="109" t="s">
        <v>439</v>
      </c>
      <c r="Q8" s="109" t="s">
        <v>117</v>
      </c>
      <c r="R8" s="109" t="s">
        <v>118</v>
      </c>
      <c r="S8" s="109" t="s">
        <v>119</v>
      </c>
      <c r="T8" s="133" t="s">
        <v>446</v>
      </c>
      <c r="U8" s="191" t="s">
        <v>121</v>
      </c>
      <c r="V8" s="109" t="s">
        <v>120</v>
      </c>
      <c r="W8" s="109" t="s">
        <v>115</v>
      </c>
      <c r="X8" s="109" t="s">
        <v>122</v>
      </c>
      <c r="Y8" s="109" t="s">
        <v>531</v>
      </c>
      <c r="Z8" s="168" t="s">
        <v>123</v>
      </c>
      <c r="AA8" s="161" t="s">
        <v>122</v>
      </c>
      <c r="AB8" s="193" t="s">
        <v>124</v>
      </c>
      <c r="AC8" s="193" t="s">
        <v>115</v>
      </c>
      <c r="AD8" s="168" t="s">
        <v>115</v>
      </c>
      <c r="AE8" s="179"/>
      <c r="AF8" s="109" t="s">
        <v>125</v>
      </c>
      <c r="AG8" s="176" t="s">
        <v>122</v>
      </c>
    </row>
    <row r="9" spans="1:33" ht="30" customHeight="1" x14ac:dyDescent="0.25">
      <c r="A9" s="82" t="s">
        <v>126</v>
      </c>
      <c r="B9" s="88" t="s">
        <v>127</v>
      </c>
      <c r="C9" s="53">
        <v>1</v>
      </c>
      <c r="D9" s="110" t="s">
        <v>128</v>
      </c>
      <c r="E9" s="110" t="s">
        <v>128</v>
      </c>
      <c r="F9" s="110" t="s">
        <v>129</v>
      </c>
      <c r="G9" s="110" t="s">
        <v>128</v>
      </c>
      <c r="H9" s="110" t="s">
        <v>128</v>
      </c>
      <c r="I9" s="110" t="s">
        <v>530</v>
      </c>
      <c r="J9" s="110" t="s">
        <v>128</v>
      </c>
      <c r="K9" s="129" t="s">
        <v>128</v>
      </c>
      <c r="L9" s="146" t="s">
        <v>130</v>
      </c>
      <c r="M9" s="141" t="s">
        <v>529</v>
      </c>
      <c r="N9" s="141" t="s">
        <v>433</v>
      </c>
      <c r="O9" s="141" t="s">
        <v>131</v>
      </c>
      <c r="P9" s="141" t="s">
        <v>440</v>
      </c>
      <c r="Q9" s="156" t="s">
        <v>132</v>
      </c>
      <c r="R9" s="141" t="s">
        <v>133</v>
      </c>
      <c r="S9" s="141" t="s">
        <v>134</v>
      </c>
      <c r="T9" s="150" t="s">
        <v>128</v>
      </c>
      <c r="U9" s="53" t="s">
        <v>128</v>
      </c>
      <c r="V9" s="141" t="s">
        <v>447</v>
      </c>
      <c r="W9" s="141" t="s">
        <v>135</v>
      </c>
      <c r="X9" s="141" t="s">
        <v>136</v>
      </c>
      <c r="Y9" s="141" t="s">
        <v>532</v>
      </c>
      <c r="Z9" s="169" t="s">
        <v>128</v>
      </c>
      <c r="AA9" s="160" t="s">
        <v>136</v>
      </c>
      <c r="AB9" s="194" t="s">
        <v>137</v>
      </c>
      <c r="AC9" s="194" t="s">
        <v>138</v>
      </c>
      <c r="AD9" s="169" t="s">
        <v>139</v>
      </c>
      <c r="AE9" s="174"/>
      <c r="AF9" s="141" t="s">
        <v>140</v>
      </c>
      <c r="AG9" s="169" t="s">
        <v>136</v>
      </c>
    </row>
    <row r="10" spans="1:33" ht="97.5" customHeight="1" x14ac:dyDescent="0.25">
      <c r="A10" s="126" t="s">
        <v>141</v>
      </c>
      <c r="B10" s="102" t="s">
        <v>142</v>
      </c>
      <c r="C10" s="103">
        <v>2</v>
      </c>
      <c r="D10" s="111" t="s">
        <v>143</v>
      </c>
      <c r="E10" s="111" t="s">
        <v>144</v>
      </c>
      <c r="F10" s="111" t="s">
        <v>145</v>
      </c>
      <c r="G10" s="111" t="s">
        <v>146</v>
      </c>
      <c r="H10" s="111" t="s">
        <v>147</v>
      </c>
      <c r="I10" s="111" t="s">
        <v>148</v>
      </c>
      <c r="J10" s="111" t="s">
        <v>149</v>
      </c>
      <c r="K10" s="130" t="s">
        <v>470</v>
      </c>
      <c r="L10" s="147" t="s">
        <v>150</v>
      </c>
      <c r="M10" s="142" t="s">
        <v>434</v>
      </c>
      <c r="N10" s="142" t="s">
        <v>549</v>
      </c>
      <c r="O10" s="142" t="s">
        <v>437</v>
      </c>
      <c r="P10" s="142" t="s">
        <v>437</v>
      </c>
      <c r="Q10" s="157" t="s">
        <v>151</v>
      </c>
      <c r="R10" s="111" t="s">
        <v>152</v>
      </c>
      <c r="S10" s="111" t="s">
        <v>153</v>
      </c>
      <c r="T10" s="130" t="s">
        <v>473</v>
      </c>
      <c r="U10" s="192" t="s">
        <v>155</v>
      </c>
      <c r="V10" s="111" t="s">
        <v>448</v>
      </c>
      <c r="W10" s="111" t="s">
        <v>150</v>
      </c>
      <c r="X10" s="111" t="s">
        <v>156</v>
      </c>
      <c r="Y10" s="111" t="s">
        <v>548</v>
      </c>
      <c r="Z10" s="74" t="s">
        <v>154</v>
      </c>
      <c r="AA10" s="58" t="s">
        <v>156</v>
      </c>
      <c r="AB10" s="195" t="s">
        <v>157</v>
      </c>
      <c r="AC10" s="195" t="s">
        <v>158</v>
      </c>
      <c r="AD10" s="170" t="s">
        <v>159</v>
      </c>
      <c r="AE10" s="56"/>
      <c r="AF10" s="111" t="s">
        <v>160</v>
      </c>
      <c r="AG10" s="170" t="s">
        <v>156</v>
      </c>
    </row>
    <row r="11" spans="1:33" ht="63.75" customHeight="1" x14ac:dyDescent="0.25">
      <c r="A11" s="127" t="s">
        <v>161</v>
      </c>
      <c r="B11" s="104" t="s">
        <v>162</v>
      </c>
      <c r="C11" s="105">
        <v>3</v>
      </c>
      <c r="D11" s="112" t="s">
        <v>128</v>
      </c>
      <c r="E11" s="112" t="s">
        <v>128</v>
      </c>
      <c r="F11" s="112" t="s">
        <v>163</v>
      </c>
      <c r="G11" s="112" t="s">
        <v>128</v>
      </c>
      <c r="H11" s="112" t="s">
        <v>128</v>
      </c>
      <c r="I11" s="112" t="s">
        <v>128</v>
      </c>
      <c r="J11" s="112" t="s">
        <v>128</v>
      </c>
      <c r="K11" s="131" t="s">
        <v>128</v>
      </c>
      <c r="L11" s="148" t="s">
        <v>164</v>
      </c>
      <c r="M11" s="112" t="s">
        <v>435</v>
      </c>
      <c r="N11" s="112" t="s">
        <v>435</v>
      </c>
      <c r="O11" s="104" t="s">
        <v>165</v>
      </c>
      <c r="P11" s="112" t="s">
        <v>441</v>
      </c>
      <c r="Q11" s="104" t="s">
        <v>166</v>
      </c>
      <c r="R11" s="112" t="s">
        <v>167</v>
      </c>
      <c r="S11" s="112" t="s">
        <v>168</v>
      </c>
      <c r="T11" s="131" t="s">
        <v>128</v>
      </c>
      <c r="U11" s="59" t="s">
        <v>128</v>
      </c>
      <c r="V11" s="112" t="s">
        <v>449</v>
      </c>
      <c r="W11" s="112" t="s">
        <v>164</v>
      </c>
      <c r="X11" s="112" t="s">
        <v>169</v>
      </c>
      <c r="Y11" s="112" t="s">
        <v>533</v>
      </c>
      <c r="Z11" s="171" t="s">
        <v>128</v>
      </c>
      <c r="AA11" s="159" t="s">
        <v>169</v>
      </c>
      <c r="AB11" s="196" t="s">
        <v>170</v>
      </c>
      <c r="AC11" s="196" t="s">
        <v>171</v>
      </c>
      <c r="AD11" s="171" t="s">
        <v>172</v>
      </c>
      <c r="AE11" s="180"/>
      <c r="AF11" s="186" t="s">
        <v>173</v>
      </c>
      <c r="AG11" s="171" t="s">
        <v>169</v>
      </c>
    </row>
    <row r="12" spans="1:33" ht="112.5" customHeight="1" x14ac:dyDescent="0.25">
      <c r="A12" s="128" t="s">
        <v>174</v>
      </c>
      <c r="B12" s="106" t="s">
        <v>175</v>
      </c>
      <c r="C12" s="107" t="s">
        <v>176</v>
      </c>
      <c r="D12" s="113" t="s">
        <v>177</v>
      </c>
      <c r="E12" s="113" t="s">
        <v>178</v>
      </c>
      <c r="F12" s="113" t="s">
        <v>179</v>
      </c>
      <c r="G12" s="113" t="s">
        <v>180</v>
      </c>
      <c r="H12" s="113" t="s">
        <v>540</v>
      </c>
      <c r="I12" s="113" t="s">
        <v>182</v>
      </c>
      <c r="J12" s="113" t="s">
        <v>183</v>
      </c>
      <c r="K12" s="132" t="s">
        <v>471</v>
      </c>
      <c r="L12" s="61" t="s">
        <v>536</v>
      </c>
      <c r="M12" s="113" t="s">
        <v>436</v>
      </c>
      <c r="N12" s="113" t="s">
        <v>436</v>
      </c>
      <c r="O12" s="106" t="s">
        <v>185</v>
      </c>
      <c r="P12" s="113" t="s">
        <v>442</v>
      </c>
      <c r="Q12" s="106" t="s">
        <v>186</v>
      </c>
      <c r="R12" s="113" t="s">
        <v>187</v>
      </c>
      <c r="S12" s="113" t="s">
        <v>188</v>
      </c>
      <c r="T12" s="75" t="s">
        <v>189</v>
      </c>
      <c r="U12" s="181" t="s">
        <v>190</v>
      </c>
      <c r="V12" s="113" t="s">
        <v>524</v>
      </c>
      <c r="W12" s="113" t="s">
        <v>184</v>
      </c>
      <c r="X12" s="113" t="s">
        <v>191</v>
      </c>
      <c r="Y12" s="113" t="s">
        <v>534</v>
      </c>
      <c r="Z12" s="175" t="s">
        <v>192</v>
      </c>
      <c r="AA12" s="158" t="s">
        <v>191</v>
      </c>
      <c r="AB12" s="197" t="s">
        <v>193</v>
      </c>
      <c r="AC12" s="197" t="s">
        <v>194</v>
      </c>
      <c r="AD12" s="75" t="s">
        <v>195</v>
      </c>
      <c r="AE12" s="181"/>
      <c r="AF12" s="113" t="s">
        <v>196</v>
      </c>
      <c r="AG12" s="175" t="s">
        <v>191</v>
      </c>
    </row>
    <row r="13" spans="1:33" ht="14.4" x14ac:dyDescent="0.3">
      <c r="A13" s="83" t="s">
        <v>197</v>
      </c>
      <c r="B13" s="89" t="s">
        <v>198</v>
      </c>
      <c r="C13" s="12"/>
      <c r="D13" s="114"/>
      <c r="E13" s="114"/>
      <c r="F13" s="114"/>
      <c r="G13" s="114"/>
      <c r="H13" s="114"/>
      <c r="I13" s="114"/>
      <c r="J13" s="114"/>
      <c r="K13" s="76"/>
      <c r="L13" s="71"/>
      <c r="M13" s="151"/>
      <c r="N13" s="114"/>
      <c r="O13" s="151"/>
      <c r="P13" s="114"/>
      <c r="Q13" s="151"/>
      <c r="R13" s="151"/>
      <c r="S13" s="151"/>
      <c r="T13" s="76"/>
      <c r="U13" s="152"/>
      <c r="V13" s="114"/>
      <c r="W13" s="114"/>
      <c r="X13" s="114"/>
      <c r="Y13" s="114"/>
      <c r="Z13" s="76"/>
      <c r="AA13" s="12"/>
      <c r="AB13" s="114"/>
      <c r="AC13" s="114"/>
      <c r="AD13" s="172"/>
      <c r="AE13" s="153"/>
      <c r="AF13" s="115"/>
      <c r="AG13" s="77"/>
    </row>
    <row r="14" spans="1:33" ht="14.4" x14ac:dyDescent="0.3">
      <c r="A14" s="83" t="s">
        <v>199</v>
      </c>
      <c r="B14" s="89">
        <v>4</v>
      </c>
      <c r="C14" s="12"/>
      <c r="D14" s="114"/>
      <c r="E14" s="114"/>
      <c r="F14" s="114"/>
      <c r="G14" s="114"/>
      <c r="H14" s="114"/>
      <c r="I14" s="114"/>
      <c r="J14" s="114"/>
      <c r="K14" s="76"/>
      <c r="L14" s="12"/>
      <c r="M14" s="114"/>
      <c r="N14" s="114"/>
      <c r="O14" s="114"/>
      <c r="P14" s="114"/>
      <c r="Q14" s="114"/>
      <c r="R14" s="114"/>
      <c r="S14" s="114"/>
      <c r="T14" s="76"/>
      <c r="U14" s="152"/>
      <c r="V14" s="114"/>
      <c r="W14" s="114"/>
      <c r="X14" s="114"/>
      <c r="Y14" s="114"/>
      <c r="Z14" s="76"/>
      <c r="AA14" s="12"/>
      <c r="AB14" s="114"/>
      <c r="AC14" s="114"/>
      <c r="AD14" s="76"/>
      <c r="AE14" s="153"/>
      <c r="AF14" s="115"/>
      <c r="AG14" s="77"/>
    </row>
    <row r="15" spans="1:33" ht="14.4" x14ac:dyDescent="0.3">
      <c r="A15" s="83" t="s">
        <v>200</v>
      </c>
      <c r="B15" s="89" t="s">
        <v>201</v>
      </c>
      <c r="C15" s="12"/>
      <c r="D15" s="114"/>
      <c r="E15" s="114"/>
      <c r="F15" s="114"/>
      <c r="G15" s="114"/>
      <c r="H15" s="114"/>
      <c r="I15" s="114"/>
      <c r="J15" s="114"/>
      <c r="K15" s="76"/>
      <c r="L15" s="12"/>
      <c r="M15" s="114"/>
      <c r="N15" s="114"/>
      <c r="O15" s="114"/>
      <c r="P15" s="114"/>
      <c r="Q15" s="114"/>
      <c r="R15" s="114"/>
      <c r="S15" s="114"/>
      <c r="T15" s="76"/>
      <c r="U15" s="152"/>
      <c r="V15" s="114"/>
      <c r="W15" s="114"/>
      <c r="X15" s="114"/>
      <c r="Y15" s="114"/>
      <c r="Z15" s="76"/>
      <c r="AA15" s="12"/>
      <c r="AB15" s="114"/>
      <c r="AC15" s="114"/>
      <c r="AD15" s="76"/>
      <c r="AE15" s="153"/>
      <c r="AF15" s="115"/>
      <c r="AG15" s="77"/>
    </row>
    <row r="16" spans="1:33" ht="14.4" x14ac:dyDescent="0.3">
      <c r="A16" s="83" t="s">
        <v>202</v>
      </c>
      <c r="B16" s="89">
        <v>2</v>
      </c>
      <c r="C16" s="12"/>
      <c r="D16" s="114"/>
      <c r="E16" s="114"/>
      <c r="F16" s="114"/>
      <c r="G16" s="114"/>
      <c r="H16" s="114"/>
      <c r="I16" s="114"/>
      <c r="J16" s="114"/>
      <c r="K16" s="76"/>
      <c r="L16" s="12"/>
      <c r="M16" s="114"/>
      <c r="N16" s="114"/>
      <c r="O16" s="114"/>
      <c r="P16" s="114"/>
      <c r="Q16" s="114"/>
      <c r="R16" s="114"/>
      <c r="S16" s="114"/>
      <c r="T16" s="76"/>
      <c r="U16" s="152"/>
      <c r="V16" s="114"/>
      <c r="W16" s="114"/>
      <c r="X16" s="114"/>
      <c r="Y16" s="114"/>
      <c r="Z16" s="76"/>
      <c r="AA16" s="12"/>
      <c r="AB16" s="114"/>
      <c r="AC16" s="114"/>
      <c r="AD16" s="76"/>
      <c r="AE16" s="153"/>
      <c r="AF16" s="115"/>
      <c r="AG16" s="77"/>
    </row>
    <row r="17" spans="1:33" thickBot="1" x14ac:dyDescent="0.35">
      <c r="A17" s="83" t="s">
        <v>203</v>
      </c>
      <c r="B17" s="90"/>
      <c r="C17" s="12"/>
      <c r="D17" s="115"/>
      <c r="E17" s="115"/>
      <c r="F17" s="115"/>
      <c r="G17" s="115"/>
      <c r="H17" s="115"/>
      <c r="I17" s="115"/>
      <c r="J17" s="115"/>
      <c r="K17" s="77"/>
      <c r="L17" s="11"/>
      <c r="M17" s="115"/>
      <c r="N17" s="115"/>
      <c r="O17" s="115"/>
      <c r="P17" s="115"/>
      <c r="Q17" s="115"/>
      <c r="R17" s="114"/>
      <c r="S17" s="114"/>
      <c r="T17" s="76"/>
      <c r="U17" s="152"/>
      <c r="V17" s="114"/>
      <c r="W17" s="114"/>
      <c r="X17" s="114"/>
      <c r="Y17" s="114"/>
      <c r="Z17" s="76"/>
      <c r="AA17" s="12"/>
      <c r="AB17" s="114"/>
      <c r="AC17" s="219"/>
      <c r="AD17" s="76"/>
      <c r="AE17" s="153"/>
      <c r="AF17" s="115"/>
      <c r="AG17" s="77"/>
    </row>
    <row r="18" spans="1:33" thickTop="1" x14ac:dyDescent="0.3">
      <c r="A18" s="83" t="s">
        <v>204</v>
      </c>
      <c r="B18" s="91"/>
      <c r="C18" s="12"/>
      <c r="D18" s="116"/>
      <c r="E18" s="116"/>
      <c r="F18" s="116"/>
      <c r="G18" s="116"/>
      <c r="H18" s="116"/>
      <c r="I18" s="116"/>
      <c r="J18" s="116"/>
      <c r="K18" s="78"/>
      <c r="L18" s="18"/>
      <c r="M18" s="116"/>
      <c r="N18" s="116"/>
      <c r="O18" s="116"/>
      <c r="P18" s="116"/>
      <c r="Q18" s="116"/>
      <c r="R18" s="116"/>
      <c r="S18" s="116"/>
      <c r="T18" s="78"/>
      <c r="U18" s="154"/>
      <c r="V18" s="116"/>
      <c r="W18" s="116"/>
      <c r="X18" s="116"/>
      <c r="Y18" s="116"/>
      <c r="Z18" s="78"/>
      <c r="AA18" s="18"/>
      <c r="AB18" s="116"/>
      <c r="AC18" s="116"/>
      <c r="AD18" s="78"/>
      <c r="AE18" s="155"/>
      <c r="AF18" s="117"/>
      <c r="AG18" s="79"/>
    </row>
    <row r="19" spans="1:33" ht="14.4" x14ac:dyDescent="0.3">
      <c r="A19" s="83" t="s">
        <v>205</v>
      </c>
      <c r="B19" s="92"/>
      <c r="C19" s="12"/>
      <c r="D19" s="116"/>
      <c r="E19" s="116"/>
      <c r="F19" s="116"/>
      <c r="G19" s="116"/>
      <c r="H19" s="116"/>
      <c r="I19" s="116"/>
      <c r="J19" s="116"/>
      <c r="K19" s="78"/>
      <c r="L19" s="18"/>
      <c r="M19" s="116"/>
      <c r="N19" s="116"/>
      <c r="O19" s="116"/>
      <c r="P19" s="116"/>
      <c r="Q19" s="116"/>
      <c r="R19" s="116"/>
      <c r="S19" s="116"/>
      <c r="T19" s="78"/>
      <c r="U19" s="154"/>
      <c r="V19" s="116"/>
      <c r="W19" s="116"/>
      <c r="X19" s="116"/>
      <c r="Y19" s="116"/>
      <c r="Z19" s="78"/>
      <c r="AA19" s="18"/>
      <c r="AB19" s="116"/>
      <c r="AC19" s="116"/>
      <c r="AD19" s="78"/>
      <c r="AE19" s="155"/>
      <c r="AF19" s="117"/>
      <c r="AG19" s="79"/>
    </row>
    <row r="20" spans="1:33" ht="14.4" x14ac:dyDescent="0.3">
      <c r="A20" s="83" t="s">
        <v>206</v>
      </c>
      <c r="B20" s="91"/>
      <c r="C20" s="12"/>
      <c r="D20" s="117"/>
      <c r="E20" s="117"/>
      <c r="F20" s="117"/>
      <c r="G20" s="117"/>
      <c r="H20" s="117"/>
      <c r="I20" s="117"/>
      <c r="J20" s="117"/>
      <c r="K20" s="79"/>
      <c r="L20" s="7"/>
      <c r="M20" s="117"/>
      <c r="N20" s="117"/>
      <c r="O20" s="117"/>
      <c r="P20" s="117"/>
      <c r="Q20" s="117"/>
      <c r="R20" s="117"/>
      <c r="S20" s="117"/>
      <c r="T20" s="79"/>
      <c r="U20" s="155"/>
      <c r="V20" s="117"/>
      <c r="W20" s="117"/>
      <c r="X20" s="117"/>
      <c r="Y20" s="117"/>
      <c r="Z20" s="79"/>
      <c r="AA20" s="7"/>
      <c r="AB20" s="117"/>
      <c r="AC20" s="117"/>
      <c r="AD20" s="79"/>
      <c r="AE20" s="155"/>
      <c r="AF20" s="117"/>
      <c r="AG20" s="79"/>
    </row>
    <row r="21" spans="1:33" ht="14.4" x14ac:dyDescent="0.3">
      <c r="A21" s="83" t="s">
        <v>207</v>
      </c>
      <c r="B21" s="91"/>
      <c r="C21" s="12"/>
      <c r="D21" s="117"/>
      <c r="E21" s="117"/>
      <c r="F21" s="117"/>
      <c r="G21" s="117"/>
      <c r="H21" s="117"/>
      <c r="I21" s="117"/>
      <c r="J21" s="117"/>
      <c r="K21" s="79"/>
      <c r="L21" s="7"/>
      <c r="M21" s="117"/>
      <c r="N21" s="117"/>
      <c r="O21" s="117"/>
      <c r="P21" s="117"/>
      <c r="Q21" s="117" t="s">
        <v>530</v>
      </c>
      <c r="R21" s="117"/>
      <c r="S21" s="117"/>
      <c r="T21" s="79"/>
      <c r="U21" s="155"/>
      <c r="V21" s="117"/>
      <c r="W21" s="117"/>
      <c r="X21" s="117"/>
      <c r="Y21" s="117"/>
      <c r="Z21" s="79"/>
      <c r="AA21" s="7"/>
      <c r="AB21" s="117"/>
      <c r="AC21" s="117"/>
      <c r="AD21" s="79"/>
      <c r="AE21" s="155"/>
      <c r="AF21" s="117"/>
      <c r="AG21" s="79"/>
    </row>
    <row r="22" spans="1:33" ht="15.75" customHeight="1" x14ac:dyDescent="0.3">
      <c r="A22" s="83" t="s">
        <v>208</v>
      </c>
      <c r="B22" s="91"/>
      <c r="C22" s="12"/>
      <c r="D22" s="117"/>
      <c r="E22" s="117"/>
      <c r="F22" s="117"/>
      <c r="G22" s="117"/>
      <c r="H22" s="117"/>
      <c r="I22" s="117"/>
      <c r="J22" s="117"/>
      <c r="K22" s="79"/>
      <c r="L22" s="7"/>
      <c r="M22" s="117"/>
      <c r="N22" s="117"/>
      <c r="O22" s="117"/>
      <c r="P22" s="117"/>
      <c r="Q22" s="117"/>
      <c r="R22" s="117"/>
      <c r="S22" s="117"/>
      <c r="T22" s="79"/>
      <c r="U22" s="155"/>
      <c r="V22" s="117"/>
      <c r="W22" s="117"/>
      <c r="X22" s="117"/>
      <c r="Y22" s="117"/>
      <c r="Z22" s="79"/>
      <c r="AA22" s="7"/>
      <c r="AB22" s="117"/>
      <c r="AC22" s="117"/>
      <c r="AD22" s="79"/>
      <c r="AE22" s="155"/>
      <c r="AF22" s="117"/>
      <c r="AG22" s="79"/>
    </row>
    <row r="23" spans="1:33" ht="15.75" customHeight="1" x14ac:dyDescent="0.3">
      <c r="A23" s="83" t="s">
        <v>209</v>
      </c>
      <c r="B23" s="91"/>
      <c r="C23" s="12"/>
      <c r="D23" s="117"/>
      <c r="E23" s="117"/>
      <c r="F23" s="117"/>
      <c r="G23" s="117"/>
      <c r="H23" s="117"/>
      <c r="I23" s="117"/>
      <c r="J23" s="117"/>
      <c r="K23" s="79"/>
      <c r="L23" s="7"/>
      <c r="M23" s="117"/>
      <c r="N23" s="117"/>
      <c r="O23" s="117"/>
      <c r="P23" s="117"/>
      <c r="Q23" s="117"/>
      <c r="R23" s="117"/>
      <c r="S23" s="117"/>
      <c r="T23" s="79"/>
      <c r="U23" s="155"/>
      <c r="V23" s="117"/>
      <c r="W23" s="117"/>
      <c r="X23" s="117"/>
      <c r="Y23" s="117"/>
      <c r="Z23" s="79"/>
      <c r="AA23" s="7"/>
      <c r="AB23" s="117"/>
      <c r="AC23" s="117"/>
      <c r="AD23" s="79"/>
      <c r="AE23" s="155"/>
      <c r="AF23" s="117"/>
      <c r="AG23" s="79"/>
    </row>
    <row r="24" spans="1:33" ht="15.75" customHeight="1" x14ac:dyDescent="0.3">
      <c r="A24" s="83" t="s">
        <v>210</v>
      </c>
      <c r="B24" s="91"/>
      <c r="C24" s="12"/>
      <c r="D24" s="117"/>
      <c r="E24" s="117"/>
      <c r="F24" s="117"/>
      <c r="G24" s="117"/>
      <c r="H24" s="117"/>
      <c r="I24" s="117"/>
      <c r="J24" s="117"/>
      <c r="K24" s="79"/>
      <c r="L24" s="7"/>
      <c r="M24" s="117"/>
      <c r="N24" s="117"/>
      <c r="O24" s="117"/>
      <c r="P24" s="117"/>
      <c r="Q24" s="117"/>
      <c r="R24" s="117"/>
      <c r="S24" s="117"/>
      <c r="T24" s="79"/>
      <c r="U24" s="155"/>
      <c r="V24" s="117"/>
      <c r="W24" s="117"/>
      <c r="X24" s="117"/>
      <c r="Y24" s="117"/>
      <c r="Z24" s="79"/>
      <c r="AA24" s="7"/>
      <c r="AB24" s="117"/>
      <c r="AC24" s="117"/>
      <c r="AD24" s="79"/>
      <c r="AE24" s="155"/>
      <c r="AF24" s="117"/>
      <c r="AG24" s="79"/>
    </row>
    <row r="25" spans="1:33" ht="15.75" customHeight="1" x14ac:dyDescent="0.3">
      <c r="A25" s="83" t="s">
        <v>211</v>
      </c>
      <c r="B25" s="91"/>
      <c r="C25" s="12"/>
      <c r="D25" s="117"/>
      <c r="E25" s="117"/>
      <c r="F25" s="117"/>
      <c r="G25" s="117"/>
      <c r="H25" s="117"/>
      <c r="I25" s="117"/>
      <c r="J25" s="117"/>
      <c r="K25" s="79"/>
      <c r="L25" s="7"/>
      <c r="M25" s="117"/>
      <c r="N25" s="117"/>
      <c r="O25" s="117"/>
      <c r="P25" s="117"/>
      <c r="Q25" s="117"/>
      <c r="R25" s="117"/>
      <c r="S25" s="117"/>
      <c r="T25" s="79"/>
      <c r="U25" s="155"/>
      <c r="V25" s="117"/>
      <c r="W25" s="117"/>
      <c r="X25" s="117"/>
      <c r="Y25" s="117"/>
      <c r="Z25" s="79"/>
      <c r="AA25" s="7"/>
      <c r="AB25" s="117"/>
      <c r="AC25" s="117"/>
      <c r="AD25" s="79"/>
      <c r="AE25" s="155"/>
      <c r="AF25" s="117"/>
      <c r="AG25" s="79"/>
    </row>
    <row r="26" spans="1:33" ht="15.75" customHeight="1" x14ac:dyDescent="0.3">
      <c r="A26" s="83" t="s">
        <v>212</v>
      </c>
      <c r="B26" s="91"/>
      <c r="C26" s="12"/>
      <c r="D26" s="117"/>
      <c r="E26" s="117"/>
      <c r="F26" s="117"/>
      <c r="G26" s="117"/>
      <c r="H26" s="117"/>
      <c r="I26" s="117"/>
      <c r="J26" s="117"/>
      <c r="K26" s="79"/>
      <c r="L26" s="7"/>
      <c r="M26" s="117"/>
      <c r="N26" s="117"/>
      <c r="O26" s="117"/>
      <c r="P26" s="117"/>
      <c r="Q26" s="117"/>
      <c r="R26" s="117"/>
      <c r="S26" s="117"/>
      <c r="T26" s="79"/>
      <c r="U26" s="155"/>
      <c r="V26" s="117"/>
      <c r="W26" s="117"/>
      <c r="X26" s="117"/>
      <c r="Y26" s="117"/>
      <c r="Z26" s="79"/>
      <c r="AA26" s="7"/>
      <c r="AB26" s="117"/>
      <c r="AC26" s="117"/>
      <c r="AD26" s="79"/>
      <c r="AE26" s="155"/>
      <c r="AF26" s="117"/>
      <c r="AG26" s="79"/>
    </row>
    <row r="27" spans="1:33" ht="15.75" customHeight="1" x14ac:dyDescent="0.3">
      <c r="A27" s="83" t="s">
        <v>213</v>
      </c>
      <c r="B27" s="91"/>
      <c r="C27" s="12"/>
      <c r="D27" s="117"/>
      <c r="E27" s="117"/>
      <c r="F27" s="117"/>
      <c r="G27" s="117"/>
      <c r="H27" s="117"/>
      <c r="I27" s="117"/>
      <c r="J27" s="117"/>
      <c r="K27" s="79"/>
      <c r="L27" s="7"/>
      <c r="M27" s="117"/>
      <c r="N27" s="117"/>
      <c r="O27" s="117"/>
      <c r="P27" s="117"/>
      <c r="Q27" s="117"/>
      <c r="R27" s="117"/>
      <c r="S27" s="117"/>
      <c r="T27" s="79"/>
      <c r="U27" s="155"/>
      <c r="V27" s="117"/>
      <c r="W27" s="117"/>
      <c r="X27" s="117"/>
      <c r="Y27" s="117"/>
      <c r="Z27" s="79"/>
      <c r="AA27" s="7"/>
      <c r="AB27" s="117"/>
      <c r="AC27" s="117"/>
      <c r="AD27" s="79"/>
      <c r="AE27" s="155"/>
      <c r="AF27" s="117"/>
      <c r="AG27" s="79"/>
    </row>
    <row r="28" spans="1:33" ht="15.75" customHeight="1" x14ac:dyDescent="0.3">
      <c r="A28" s="83" t="s">
        <v>214</v>
      </c>
      <c r="B28" s="91"/>
      <c r="C28" s="12"/>
      <c r="D28" s="117"/>
      <c r="E28" s="117"/>
      <c r="F28" s="117"/>
      <c r="G28" s="117"/>
      <c r="H28" s="117"/>
      <c r="I28" s="117"/>
      <c r="J28" s="117"/>
      <c r="K28" s="79"/>
      <c r="L28" s="7"/>
      <c r="M28" s="117"/>
      <c r="N28" s="117"/>
      <c r="O28" s="117"/>
      <c r="P28" s="117"/>
      <c r="Q28" s="117"/>
      <c r="R28" s="117"/>
      <c r="S28" s="117"/>
      <c r="T28" s="79"/>
      <c r="U28" s="155"/>
      <c r="V28" s="117"/>
      <c r="W28" s="117"/>
      <c r="X28" s="117"/>
      <c r="Y28" s="117"/>
      <c r="Z28" s="79"/>
      <c r="AA28" s="7"/>
      <c r="AB28" s="117"/>
      <c r="AC28" s="117"/>
      <c r="AD28" s="79"/>
      <c r="AE28" s="155"/>
      <c r="AF28" s="117"/>
      <c r="AG28" s="79"/>
    </row>
    <row r="29" spans="1:33" ht="15.75" customHeight="1" x14ac:dyDescent="0.3">
      <c r="A29" s="83" t="s">
        <v>215</v>
      </c>
      <c r="B29" s="91"/>
      <c r="C29" s="12"/>
      <c r="D29" s="117"/>
      <c r="E29" s="117"/>
      <c r="F29" s="117"/>
      <c r="G29" s="117"/>
      <c r="H29" s="117"/>
      <c r="I29" s="117"/>
      <c r="J29" s="117"/>
      <c r="K29" s="79"/>
      <c r="L29" s="7"/>
      <c r="M29" s="117"/>
      <c r="N29" s="117"/>
      <c r="O29" s="117"/>
      <c r="P29" s="117"/>
      <c r="Q29" s="117"/>
      <c r="R29" s="117"/>
      <c r="S29" s="117"/>
      <c r="T29" s="79"/>
      <c r="U29" s="155"/>
      <c r="V29" s="117"/>
      <c r="W29" s="117"/>
      <c r="X29" s="117"/>
      <c r="Y29" s="117"/>
      <c r="Z29" s="79"/>
      <c r="AA29" s="7"/>
      <c r="AB29" s="117"/>
      <c r="AC29" s="117"/>
      <c r="AD29" s="79"/>
      <c r="AE29" s="155"/>
      <c r="AF29" s="117"/>
      <c r="AG29" s="79"/>
    </row>
    <row r="30" spans="1:33" ht="15.75" customHeight="1" x14ac:dyDescent="0.3">
      <c r="A30" s="83" t="s">
        <v>216</v>
      </c>
      <c r="B30" s="91"/>
      <c r="C30" s="12"/>
      <c r="D30" s="117"/>
      <c r="E30" s="117"/>
      <c r="F30" s="117"/>
      <c r="G30" s="117"/>
      <c r="H30" s="117"/>
      <c r="I30" s="117"/>
      <c r="J30" s="117"/>
      <c r="K30" s="79"/>
      <c r="L30" s="7"/>
      <c r="M30" s="117"/>
      <c r="N30" s="117"/>
      <c r="O30" s="117"/>
      <c r="P30" s="117"/>
      <c r="Q30" s="117"/>
      <c r="R30" s="117"/>
      <c r="S30" s="117"/>
      <c r="T30" s="79"/>
      <c r="U30" s="155"/>
      <c r="V30" s="117"/>
      <c r="W30" s="117"/>
      <c r="X30" s="117"/>
      <c r="Y30" s="117"/>
      <c r="Z30" s="79"/>
      <c r="AA30" s="7"/>
      <c r="AB30" s="117"/>
      <c r="AC30" s="117"/>
      <c r="AD30" s="79"/>
      <c r="AE30" s="155"/>
      <c r="AF30" s="117"/>
      <c r="AG30" s="79"/>
    </row>
    <row r="31" spans="1:33" ht="15.75" customHeight="1" x14ac:dyDescent="0.3">
      <c r="A31" s="83" t="s">
        <v>217</v>
      </c>
      <c r="B31" s="91"/>
      <c r="C31" s="12"/>
      <c r="D31" s="117"/>
      <c r="E31" s="117"/>
      <c r="F31" s="117"/>
      <c r="G31" s="117"/>
      <c r="H31" s="117"/>
      <c r="I31" s="117"/>
      <c r="J31" s="117"/>
      <c r="K31" s="79"/>
      <c r="L31" s="7"/>
      <c r="M31" s="117"/>
      <c r="N31" s="117"/>
      <c r="O31" s="117"/>
      <c r="P31" s="117"/>
      <c r="Q31" s="117"/>
      <c r="R31" s="117"/>
      <c r="S31" s="117"/>
      <c r="T31" s="79"/>
      <c r="U31" s="155"/>
      <c r="V31" s="117"/>
      <c r="W31" s="117"/>
      <c r="X31" s="117"/>
      <c r="Y31" s="117"/>
      <c r="Z31" s="79"/>
      <c r="AA31" s="7"/>
      <c r="AB31" s="117"/>
      <c r="AC31" s="117"/>
      <c r="AD31" s="79"/>
      <c r="AE31" s="155"/>
      <c r="AF31" s="117"/>
      <c r="AG31" s="79"/>
    </row>
    <row r="32" spans="1:33" ht="15.75" customHeight="1" x14ac:dyDescent="0.3">
      <c r="A32" s="83" t="s">
        <v>218</v>
      </c>
      <c r="B32" s="91"/>
      <c r="C32" s="12"/>
      <c r="D32" s="117"/>
      <c r="E32" s="117"/>
      <c r="F32" s="117"/>
      <c r="G32" s="117"/>
      <c r="H32" s="117"/>
      <c r="I32" s="117"/>
      <c r="J32" s="117"/>
      <c r="K32" s="79"/>
      <c r="L32" s="7"/>
      <c r="M32" s="117"/>
      <c r="N32" s="117"/>
      <c r="O32" s="117"/>
      <c r="P32" s="117"/>
      <c r="Q32" s="117"/>
      <c r="R32" s="117"/>
      <c r="S32" s="117"/>
      <c r="T32" s="79"/>
      <c r="U32" s="155"/>
      <c r="V32" s="117"/>
      <c r="W32" s="117"/>
      <c r="X32" s="117"/>
      <c r="Y32" s="117"/>
      <c r="Z32" s="79"/>
      <c r="AA32" s="7"/>
      <c r="AB32" s="117"/>
      <c r="AC32" s="117"/>
      <c r="AD32" s="79"/>
      <c r="AE32" s="155"/>
      <c r="AF32" s="117"/>
      <c r="AG32" s="79"/>
    </row>
    <row r="33" spans="1:33" ht="15.75" customHeight="1" x14ac:dyDescent="0.3">
      <c r="A33" s="83" t="s">
        <v>219</v>
      </c>
      <c r="B33" s="91"/>
      <c r="C33" s="12"/>
      <c r="D33" s="117"/>
      <c r="E33" s="117"/>
      <c r="F33" s="117"/>
      <c r="G33" s="117"/>
      <c r="H33" s="117"/>
      <c r="I33" s="117"/>
      <c r="J33" s="117"/>
      <c r="K33" s="79"/>
      <c r="L33" s="7"/>
      <c r="M33" s="117"/>
      <c r="N33" s="117"/>
      <c r="O33" s="117"/>
      <c r="P33" s="117"/>
      <c r="Q33" s="117"/>
      <c r="R33" s="117"/>
      <c r="S33" s="117"/>
      <c r="T33" s="79"/>
      <c r="U33" s="155"/>
      <c r="V33" s="117"/>
      <c r="W33" s="117"/>
      <c r="X33" s="117"/>
      <c r="Y33" s="117"/>
      <c r="Z33" s="79"/>
      <c r="AA33" s="7"/>
      <c r="AB33" s="117"/>
      <c r="AC33" s="117"/>
      <c r="AD33" s="79"/>
      <c r="AE33" s="155"/>
      <c r="AF33" s="117"/>
      <c r="AG33" s="79"/>
    </row>
    <row r="34" spans="1:33" ht="15.75" customHeight="1" x14ac:dyDescent="0.3">
      <c r="A34" s="83" t="s">
        <v>220</v>
      </c>
      <c r="B34" s="91"/>
      <c r="C34" s="12"/>
      <c r="D34" s="117"/>
      <c r="E34" s="117"/>
      <c r="F34" s="117"/>
      <c r="G34" s="117"/>
      <c r="H34" s="117"/>
      <c r="I34" s="117"/>
      <c r="J34" s="117"/>
      <c r="K34" s="79"/>
      <c r="L34" s="7"/>
      <c r="M34" s="117"/>
      <c r="N34" s="117"/>
      <c r="O34" s="117"/>
      <c r="P34" s="117"/>
      <c r="Q34" s="117"/>
      <c r="R34" s="117"/>
      <c r="S34" s="117"/>
      <c r="T34" s="79"/>
      <c r="U34" s="155"/>
      <c r="V34" s="117"/>
      <c r="W34" s="117"/>
      <c r="X34" s="117"/>
      <c r="Y34" s="117"/>
      <c r="Z34" s="79"/>
      <c r="AA34" s="7"/>
      <c r="AB34" s="117"/>
      <c r="AC34" s="117"/>
      <c r="AD34" s="79"/>
      <c r="AE34" s="155"/>
      <c r="AF34" s="117"/>
      <c r="AG34" s="79"/>
    </row>
    <row r="35" spans="1:33" ht="15.75" customHeight="1" x14ac:dyDescent="0.3">
      <c r="A35" s="83" t="s">
        <v>221</v>
      </c>
      <c r="B35" s="91"/>
      <c r="C35" s="12"/>
      <c r="D35" s="117"/>
      <c r="E35" s="117"/>
      <c r="F35" s="117"/>
      <c r="G35" s="117"/>
      <c r="H35" s="117"/>
      <c r="I35" s="117"/>
      <c r="J35" s="117"/>
      <c r="K35" s="79"/>
      <c r="L35" s="7"/>
      <c r="M35" s="117"/>
      <c r="N35" s="117"/>
      <c r="O35" s="117"/>
      <c r="P35" s="117"/>
      <c r="Q35" s="117"/>
      <c r="R35" s="117"/>
      <c r="S35" s="117"/>
      <c r="T35" s="79"/>
      <c r="U35" s="155"/>
      <c r="V35" s="117"/>
      <c r="W35" s="117"/>
      <c r="X35" s="117"/>
      <c r="Y35" s="117"/>
      <c r="Z35" s="79"/>
      <c r="AA35" s="7"/>
      <c r="AB35" s="117"/>
      <c r="AC35" s="117"/>
      <c r="AD35" s="79"/>
      <c r="AE35" s="155"/>
      <c r="AF35" s="117"/>
      <c r="AG35" s="79"/>
    </row>
    <row r="36" spans="1:33" ht="15.75" customHeight="1" x14ac:dyDescent="0.3">
      <c r="A36" s="83" t="s">
        <v>222</v>
      </c>
      <c r="B36" s="91"/>
      <c r="C36" s="12"/>
      <c r="D36" s="117"/>
      <c r="E36" s="117"/>
      <c r="F36" s="117"/>
      <c r="G36" s="117"/>
      <c r="H36" s="117"/>
      <c r="I36" s="117"/>
      <c r="J36" s="117"/>
      <c r="K36" s="79"/>
      <c r="L36" s="7"/>
      <c r="M36" s="117"/>
      <c r="N36" s="117"/>
      <c r="O36" s="117"/>
      <c r="P36" s="117"/>
      <c r="Q36" s="117"/>
      <c r="R36" s="117"/>
      <c r="S36" s="117"/>
      <c r="T36" s="79"/>
      <c r="U36" s="155"/>
      <c r="V36" s="117"/>
      <c r="W36" s="117"/>
      <c r="X36" s="117"/>
      <c r="Y36" s="117"/>
      <c r="Z36" s="79"/>
      <c r="AA36" s="7"/>
      <c r="AB36" s="117"/>
      <c r="AC36" s="117"/>
      <c r="AD36" s="79"/>
      <c r="AE36" s="155"/>
      <c r="AF36" s="117"/>
      <c r="AG36" s="79"/>
    </row>
    <row r="37" spans="1:33" ht="15.75" customHeight="1" x14ac:dyDescent="0.3">
      <c r="A37" s="83" t="s">
        <v>223</v>
      </c>
      <c r="B37" s="91"/>
      <c r="C37" s="12"/>
      <c r="D37" s="117"/>
      <c r="E37" s="117"/>
      <c r="F37" s="117"/>
      <c r="G37" s="117"/>
      <c r="H37" s="117"/>
      <c r="I37" s="117"/>
      <c r="J37" s="117"/>
      <c r="K37" s="79"/>
      <c r="L37" s="7"/>
      <c r="M37" s="117"/>
      <c r="N37" s="117"/>
      <c r="O37" s="117"/>
      <c r="P37" s="117"/>
      <c r="Q37" s="117"/>
      <c r="R37" s="117"/>
      <c r="S37" s="117"/>
      <c r="T37" s="79"/>
      <c r="U37" s="155"/>
      <c r="V37" s="117"/>
      <c r="W37" s="117"/>
      <c r="X37" s="117"/>
      <c r="Y37" s="117"/>
      <c r="Z37" s="79"/>
      <c r="AA37" s="7"/>
      <c r="AB37" s="117"/>
      <c r="AC37" s="117"/>
      <c r="AD37" s="79"/>
      <c r="AE37" s="155"/>
      <c r="AF37" s="117"/>
      <c r="AG37" s="79"/>
    </row>
    <row r="38" spans="1:33" ht="15.75" customHeight="1" x14ac:dyDescent="0.3">
      <c r="A38" s="83" t="s">
        <v>224</v>
      </c>
      <c r="B38" s="91"/>
      <c r="C38" s="12"/>
      <c r="D38" s="117"/>
      <c r="E38" s="117"/>
      <c r="F38" s="117"/>
      <c r="G38" s="117"/>
      <c r="H38" s="117"/>
      <c r="I38" s="117"/>
      <c r="J38" s="117"/>
      <c r="K38" s="79"/>
      <c r="L38" s="7"/>
      <c r="M38" s="117"/>
      <c r="N38" s="117"/>
      <c r="O38" s="117"/>
      <c r="P38" s="117"/>
      <c r="Q38" s="117"/>
      <c r="R38" s="117"/>
      <c r="S38" s="117"/>
      <c r="T38" s="79"/>
      <c r="U38" s="155"/>
      <c r="V38" s="117"/>
      <c r="W38" s="117"/>
      <c r="X38" s="117"/>
      <c r="Y38" s="117"/>
      <c r="Z38" s="79"/>
      <c r="AA38" s="7"/>
      <c r="AB38" s="117"/>
      <c r="AC38" s="117"/>
      <c r="AD38" s="79"/>
      <c r="AE38" s="155"/>
      <c r="AF38" s="117"/>
      <c r="AG38" s="79"/>
    </row>
    <row r="39" spans="1:33" ht="15.75" customHeight="1" x14ac:dyDescent="0.3">
      <c r="A39" s="83" t="s">
        <v>225</v>
      </c>
      <c r="B39" s="91"/>
      <c r="C39" s="12"/>
      <c r="D39" s="117"/>
      <c r="E39" s="117"/>
      <c r="F39" s="117"/>
      <c r="G39" s="117"/>
      <c r="H39" s="117"/>
      <c r="I39" s="117"/>
      <c r="J39" s="117"/>
      <c r="K39" s="79"/>
      <c r="L39" s="7"/>
      <c r="M39" s="117"/>
      <c r="N39" s="117"/>
      <c r="O39" s="117"/>
      <c r="P39" s="117"/>
      <c r="Q39" s="117"/>
      <c r="R39" s="117"/>
      <c r="S39" s="117"/>
      <c r="T39" s="79"/>
      <c r="U39" s="155"/>
      <c r="V39" s="117"/>
      <c r="W39" s="117"/>
      <c r="X39" s="117"/>
      <c r="Y39" s="117"/>
      <c r="Z39" s="79"/>
      <c r="AA39" s="7"/>
      <c r="AB39" s="117"/>
      <c r="AC39" s="117"/>
      <c r="AD39" s="79"/>
      <c r="AE39" s="155"/>
      <c r="AF39" s="117"/>
      <c r="AG39" s="79"/>
    </row>
    <row r="40" spans="1:33" ht="15.75" customHeight="1" x14ac:dyDescent="0.3">
      <c r="A40" s="83" t="s">
        <v>226</v>
      </c>
      <c r="B40" s="91"/>
      <c r="C40" s="12"/>
      <c r="D40" s="117"/>
      <c r="E40" s="117"/>
      <c r="F40" s="117"/>
      <c r="G40" s="117"/>
      <c r="H40" s="117"/>
      <c r="I40" s="117"/>
      <c r="J40" s="117"/>
      <c r="K40" s="79"/>
      <c r="L40" s="7"/>
      <c r="M40" s="117"/>
      <c r="N40" s="117"/>
      <c r="O40" s="117"/>
      <c r="P40" s="117"/>
      <c r="Q40" s="117"/>
      <c r="R40" s="117"/>
      <c r="S40" s="117"/>
      <c r="T40" s="79"/>
      <c r="U40" s="155"/>
      <c r="V40" s="117"/>
      <c r="W40" s="117"/>
      <c r="X40" s="117"/>
      <c r="Y40" s="117"/>
      <c r="Z40" s="79"/>
      <c r="AA40" s="7"/>
      <c r="AB40" s="117"/>
      <c r="AC40" s="117"/>
      <c r="AD40" s="79"/>
      <c r="AE40" s="155"/>
      <c r="AF40" s="117"/>
      <c r="AG40" s="79"/>
    </row>
    <row r="41" spans="1:33" ht="15.75" customHeight="1" x14ac:dyDescent="0.3">
      <c r="A41" s="83" t="s">
        <v>227</v>
      </c>
      <c r="B41" s="91"/>
      <c r="C41" s="12"/>
      <c r="D41" s="117"/>
      <c r="E41" s="117"/>
      <c r="F41" s="117"/>
      <c r="G41" s="117"/>
      <c r="H41" s="117"/>
      <c r="I41" s="117"/>
      <c r="J41" s="117"/>
      <c r="K41" s="79"/>
      <c r="L41" s="7"/>
      <c r="M41" s="117"/>
      <c r="N41" s="117"/>
      <c r="O41" s="117"/>
      <c r="P41" s="117"/>
      <c r="Q41" s="117"/>
      <c r="R41" s="117"/>
      <c r="S41" s="117"/>
      <c r="T41" s="79"/>
      <c r="U41" s="155"/>
      <c r="V41" s="117"/>
      <c r="W41" s="117"/>
      <c r="X41" s="117"/>
      <c r="Y41" s="117"/>
      <c r="Z41" s="79"/>
      <c r="AA41" s="7"/>
      <c r="AB41" s="117"/>
      <c r="AC41" s="117"/>
      <c r="AD41" s="79"/>
      <c r="AE41" s="155"/>
      <c r="AF41" s="117"/>
      <c r="AG41" s="79"/>
    </row>
    <row r="42" spans="1:33" ht="15.75" customHeight="1" x14ac:dyDescent="0.3">
      <c r="A42" s="83" t="s">
        <v>228</v>
      </c>
      <c r="B42" s="91"/>
      <c r="C42" s="12"/>
      <c r="D42" s="117"/>
      <c r="E42" s="117"/>
      <c r="F42" s="117"/>
      <c r="G42" s="117"/>
      <c r="H42" s="117"/>
      <c r="I42" s="117"/>
      <c r="J42" s="117"/>
      <c r="K42" s="79"/>
      <c r="L42" s="7"/>
      <c r="M42" s="117"/>
      <c r="N42" s="117"/>
      <c r="O42" s="117"/>
      <c r="P42" s="117"/>
      <c r="Q42" s="117"/>
      <c r="R42" s="117"/>
      <c r="S42" s="117"/>
      <c r="T42" s="79"/>
      <c r="U42" s="155"/>
      <c r="V42" s="117"/>
      <c r="W42" s="117"/>
      <c r="X42" s="117"/>
      <c r="Y42" s="117"/>
      <c r="Z42" s="79"/>
      <c r="AA42" s="7"/>
      <c r="AB42" s="117"/>
      <c r="AC42" s="117"/>
      <c r="AD42" s="79"/>
      <c r="AE42" s="155"/>
      <c r="AF42" s="117"/>
      <c r="AG42" s="79"/>
    </row>
    <row r="43" spans="1:33" ht="15.75" customHeight="1" x14ac:dyDescent="0.3">
      <c r="A43" s="83" t="s">
        <v>229</v>
      </c>
      <c r="B43" s="91"/>
      <c r="C43" s="12"/>
      <c r="D43" s="117"/>
      <c r="E43" s="117"/>
      <c r="F43" s="117"/>
      <c r="G43" s="117"/>
      <c r="H43" s="117"/>
      <c r="I43" s="117"/>
      <c r="J43" s="117"/>
      <c r="K43" s="79"/>
      <c r="L43" s="7"/>
      <c r="M43" s="117"/>
      <c r="N43" s="117"/>
      <c r="O43" s="117"/>
      <c r="P43" s="117"/>
      <c r="Q43" s="117"/>
      <c r="R43" s="117"/>
      <c r="S43" s="117"/>
      <c r="T43" s="79"/>
      <c r="U43" s="155"/>
      <c r="V43" s="117"/>
      <c r="W43" s="117"/>
      <c r="X43" s="117"/>
      <c r="Y43" s="117"/>
      <c r="Z43" s="79"/>
      <c r="AA43" s="7"/>
      <c r="AB43" s="117"/>
      <c r="AC43" s="117"/>
      <c r="AD43" s="79"/>
      <c r="AE43" s="155"/>
      <c r="AF43" s="117"/>
      <c r="AG43" s="79"/>
    </row>
    <row r="44" spans="1:33" ht="15.75" customHeight="1" x14ac:dyDescent="0.3">
      <c r="A44" s="83" t="s">
        <v>230</v>
      </c>
      <c r="B44" s="91"/>
      <c r="C44" s="12"/>
      <c r="D44" s="117"/>
      <c r="E44" s="117"/>
      <c r="F44" s="117"/>
      <c r="G44" s="117"/>
      <c r="H44" s="117"/>
      <c r="I44" s="117"/>
      <c r="J44" s="117"/>
      <c r="K44" s="79"/>
      <c r="L44" s="7"/>
      <c r="M44" s="117"/>
      <c r="N44" s="117"/>
      <c r="O44" s="117"/>
      <c r="P44" s="117"/>
      <c r="Q44" s="117"/>
      <c r="R44" s="117"/>
      <c r="S44" s="117"/>
      <c r="T44" s="79"/>
      <c r="U44" s="155"/>
      <c r="V44" s="117"/>
      <c r="W44" s="117"/>
      <c r="X44" s="117"/>
      <c r="Y44" s="117"/>
      <c r="Z44" s="79"/>
      <c r="AA44" s="7"/>
      <c r="AB44" s="117"/>
      <c r="AC44" s="117"/>
      <c r="AD44" s="79"/>
      <c r="AE44" s="155"/>
      <c r="AF44" s="117"/>
      <c r="AG44" s="79"/>
    </row>
    <row r="45" spans="1:33" ht="15.75" customHeight="1" x14ac:dyDescent="0.3">
      <c r="A45" s="83" t="s">
        <v>231</v>
      </c>
      <c r="B45" s="91"/>
      <c r="C45" s="12"/>
      <c r="D45" s="117"/>
      <c r="E45" s="117"/>
      <c r="F45" s="117"/>
      <c r="G45" s="117"/>
      <c r="H45" s="117"/>
      <c r="I45" s="117"/>
      <c r="J45" s="117"/>
      <c r="K45" s="79"/>
      <c r="L45" s="7"/>
      <c r="M45" s="117"/>
      <c r="N45" s="117"/>
      <c r="O45" s="117"/>
      <c r="P45" s="117"/>
      <c r="Q45" s="117"/>
      <c r="R45" s="117"/>
      <c r="S45" s="117"/>
      <c r="T45" s="79"/>
      <c r="U45" s="155"/>
      <c r="V45" s="117"/>
      <c r="W45" s="117"/>
      <c r="X45" s="117"/>
      <c r="Y45" s="117"/>
      <c r="Z45" s="79"/>
      <c r="AA45" s="7"/>
      <c r="AB45" s="117"/>
      <c r="AC45" s="117"/>
      <c r="AD45" s="79"/>
      <c r="AE45" s="155"/>
      <c r="AF45" s="117"/>
      <c r="AG45" s="79"/>
    </row>
    <row r="46" spans="1:33" ht="15.75" customHeight="1" x14ac:dyDescent="0.3">
      <c r="A46" s="83" t="s">
        <v>232</v>
      </c>
      <c r="B46" s="91"/>
      <c r="C46" s="12"/>
      <c r="D46" s="117"/>
      <c r="E46" s="117"/>
      <c r="F46" s="117"/>
      <c r="G46" s="117"/>
      <c r="H46" s="117"/>
      <c r="I46" s="117"/>
      <c r="J46" s="117"/>
      <c r="K46" s="79"/>
      <c r="L46" s="7"/>
      <c r="M46" s="117"/>
      <c r="N46" s="117"/>
      <c r="O46" s="117"/>
      <c r="P46" s="117"/>
      <c r="Q46" s="117"/>
      <c r="R46" s="117"/>
      <c r="S46" s="117"/>
      <c r="T46" s="79"/>
      <c r="U46" s="155"/>
      <c r="V46" s="117"/>
      <c r="W46" s="117"/>
      <c r="X46" s="117"/>
      <c r="Y46" s="117"/>
      <c r="Z46" s="79"/>
      <c r="AA46" s="7"/>
      <c r="AB46" s="117"/>
      <c r="AC46" s="117"/>
      <c r="AD46" s="79"/>
      <c r="AE46" s="155"/>
      <c r="AF46" s="117"/>
      <c r="AG46" s="79"/>
    </row>
    <row r="47" spans="1:33" ht="15.75" customHeight="1" x14ac:dyDescent="0.3">
      <c r="A47" s="83" t="s">
        <v>233</v>
      </c>
      <c r="B47" s="91"/>
      <c r="C47" s="12"/>
      <c r="D47" s="117"/>
      <c r="E47" s="117"/>
      <c r="F47" s="117"/>
      <c r="G47" s="117"/>
      <c r="H47" s="117"/>
      <c r="I47" s="117"/>
      <c r="J47" s="117"/>
      <c r="K47" s="79"/>
      <c r="L47" s="7"/>
      <c r="M47" s="117"/>
      <c r="N47" s="117"/>
      <c r="O47" s="117"/>
      <c r="P47" s="117"/>
      <c r="Q47" s="117"/>
      <c r="R47" s="117"/>
      <c r="S47" s="117"/>
      <c r="T47" s="79"/>
      <c r="U47" s="155"/>
      <c r="V47" s="117"/>
      <c r="W47" s="117"/>
      <c r="X47" s="117"/>
      <c r="Y47" s="117"/>
      <c r="Z47" s="79"/>
      <c r="AA47" s="7"/>
      <c r="AB47" s="117"/>
      <c r="AC47" s="117"/>
      <c r="AD47" s="79"/>
      <c r="AE47" s="155"/>
      <c r="AF47" s="117"/>
      <c r="AG47" s="79"/>
    </row>
    <row r="48" spans="1:33" ht="15.75" customHeight="1" x14ac:dyDescent="0.3">
      <c r="A48" s="83" t="s">
        <v>234</v>
      </c>
      <c r="B48" s="91"/>
      <c r="C48" s="12"/>
      <c r="D48" s="117"/>
      <c r="E48" s="117"/>
      <c r="F48" s="117"/>
      <c r="G48" s="117"/>
      <c r="H48" s="117"/>
      <c r="I48" s="117"/>
      <c r="J48" s="117"/>
      <c r="K48" s="79"/>
      <c r="L48" s="7"/>
      <c r="M48" s="117"/>
      <c r="N48" s="117"/>
      <c r="O48" s="117"/>
      <c r="P48" s="117"/>
      <c r="Q48" s="117"/>
      <c r="R48" s="117"/>
      <c r="S48" s="117"/>
      <c r="T48" s="79"/>
      <c r="U48" s="155"/>
      <c r="V48" s="117"/>
      <c r="W48" s="117"/>
      <c r="X48" s="117"/>
      <c r="Y48" s="117"/>
      <c r="Z48" s="79"/>
      <c r="AA48" s="7"/>
      <c r="AB48" s="117"/>
      <c r="AC48" s="117"/>
      <c r="AD48" s="79"/>
      <c r="AE48" s="155"/>
      <c r="AF48" s="117"/>
      <c r="AG48" s="79"/>
    </row>
    <row r="49" spans="1:33" ht="15.75" customHeight="1" x14ac:dyDescent="0.3">
      <c r="A49" s="83" t="s">
        <v>235</v>
      </c>
      <c r="B49" s="91"/>
      <c r="C49" s="12"/>
      <c r="D49" s="117"/>
      <c r="E49" s="117"/>
      <c r="F49" s="117"/>
      <c r="G49" s="117"/>
      <c r="H49" s="117"/>
      <c r="I49" s="117"/>
      <c r="J49" s="117"/>
      <c r="K49" s="79"/>
      <c r="L49" s="7"/>
      <c r="M49" s="117"/>
      <c r="N49" s="117"/>
      <c r="O49" s="117"/>
      <c r="P49" s="117"/>
      <c r="Q49" s="117"/>
      <c r="R49" s="117"/>
      <c r="S49" s="117"/>
      <c r="T49" s="79"/>
      <c r="U49" s="155"/>
      <c r="V49" s="117"/>
      <c r="W49" s="117"/>
      <c r="X49" s="117"/>
      <c r="Y49" s="117"/>
      <c r="Z49" s="79"/>
      <c r="AA49" s="7"/>
      <c r="AB49" s="117"/>
      <c r="AC49" s="117"/>
      <c r="AD49" s="79"/>
      <c r="AE49" s="155"/>
      <c r="AF49" s="117"/>
      <c r="AG49" s="79"/>
    </row>
    <row r="50" spans="1:33" ht="15.75" customHeight="1" x14ac:dyDescent="0.3">
      <c r="A50" s="83" t="s">
        <v>236</v>
      </c>
      <c r="B50" s="91"/>
      <c r="C50" s="12"/>
      <c r="D50" s="117"/>
      <c r="E50" s="117"/>
      <c r="F50" s="117"/>
      <c r="G50" s="117"/>
      <c r="H50" s="117"/>
      <c r="I50" s="117"/>
      <c r="J50" s="117"/>
      <c r="K50" s="79"/>
      <c r="L50" s="7"/>
      <c r="M50" s="117"/>
      <c r="N50" s="117"/>
      <c r="O50" s="117"/>
      <c r="P50" s="117"/>
      <c r="Q50" s="117"/>
      <c r="R50" s="117"/>
      <c r="S50" s="117"/>
      <c r="T50" s="79"/>
      <c r="U50" s="155"/>
      <c r="V50" s="117"/>
      <c r="W50" s="117"/>
      <c r="X50" s="117"/>
      <c r="Y50" s="117"/>
      <c r="Z50" s="79"/>
      <c r="AA50" s="7"/>
      <c r="AB50" s="117"/>
      <c r="AC50" s="117"/>
      <c r="AD50" s="79"/>
      <c r="AE50" s="155"/>
      <c r="AF50" s="117"/>
      <c r="AG50" s="79"/>
    </row>
    <row r="51" spans="1:33" ht="15.75" customHeight="1" x14ac:dyDescent="0.3">
      <c r="A51" s="83" t="s">
        <v>237</v>
      </c>
      <c r="B51" s="91"/>
      <c r="C51" s="12"/>
      <c r="D51" s="117"/>
      <c r="E51" s="117"/>
      <c r="F51" s="117"/>
      <c r="G51" s="117"/>
      <c r="H51" s="117"/>
      <c r="I51" s="117"/>
      <c r="J51" s="117"/>
      <c r="K51" s="79"/>
      <c r="L51" s="7"/>
      <c r="M51" s="117"/>
      <c r="N51" s="117"/>
      <c r="O51" s="117"/>
      <c r="P51" s="117"/>
      <c r="Q51" s="117"/>
      <c r="R51" s="117"/>
      <c r="S51" s="117"/>
      <c r="T51" s="79"/>
      <c r="U51" s="155"/>
      <c r="V51" s="117"/>
      <c r="W51" s="117"/>
      <c r="X51" s="117"/>
      <c r="Y51" s="117"/>
      <c r="Z51" s="79"/>
      <c r="AA51" s="7"/>
      <c r="AB51" s="117"/>
      <c r="AC51" s="117"/>
      <c r="AD51" s="79"/>
      <c r="AE51" s="155"/>
      <c r="AF51" s="117"/>
      <c r="AG51" s="79"/>
    </row>
    <row r="52" spans="1:33" ht="15.75" customHeight="1" x14ac:dyDescent="0.3">
      <c r="A52" s="83" t="s">
        <v>238</v>
      </c>
      <c r="B52" s="91"/>
      <c r="C52" s="12"/>
      <c r="D52" s="117"/>
      <c r="E52" s="117"/>
      <c r="F52" s="117"/>
      <c r="G52" s="117"/>
      <c r="H52" s="117"/>
      <c r="I52" s="117"/>
      <c r="J52" s="117"/>
      <c r="K52" s="79"/>
      <c r="L52" s="7"/>
      <c r="M52" s="117"/>
      <c r="N52" s="117"/>
      <c r="O52" s="117"/>
      <c r="P52" s="117"/>
      <c r="Q52" s="117"/>
      <c r="R52" s="117"/>
      <c r="S52" s="117"/>
      <c r="T52" s="79"/>
      <c r="U52" s="155"/>
      <c r="V52" s="117"/>
      <c r="W52" s="117"/>
      <c r="X52" s="117"/>
      <c r="Y52" s="117"/>
      <c r="Z52" s="79"/>
      <c r="AA52" s="7"/>
      <c r="AB52" s="117"/>
      <c r="AC52" s="117"/>
      <c r="AD52" s="79"/>
      <c r="AE52" s="155"/>
      <c r="AF52" s="117"/>
      <c r="AG52" s="79"/>
    </row>
    <row r="53" spans="1:33" ht="15.75" customHeight="1" x14ac:dyDescent="0.3">
      <c r="A53" s="83" t="s">
        <v>239</v>
      </c>
      <c r="B53" s="91"/>
      <c r="C53" s="12"/>
      <c r="D53" s="117"/>
      <c r="E53" s="117"/>
      <c r="F53" s="117"/>
      <c r="G53" s="117"/>
      <c r="H53" s="117"/>
      <c r="I53" s="117"/>
      <c r="J53" s="117"/>
      <c r="K53" s="79"/>
      <c r="L53" s="7"/>
      <c r="M53" s="117"/>
      <c r="N53" s="117"/>
      <c r="O53" s="117"/>
      <c r="P53" s="117"/>
      <c r="Q53" s="117"/>
      <c r="R53" s="117"/>
      <c r="S53" s="117"/>
      <c r="T53" s="79"/>
      <c r="U53" s="155"/>
      <c r="V53" s="117"/>
      <c r="W53" s="117"/>
      <c r="X53" s="117"/>
      <c r="Y53" s="117"/>
      <c r="Z53" s="79"/>
      <c r="AA53" s="7"/>
      <c r="AB53" s="117"/>
      <c r="AC53" s="117"/>
      <c r="AD53" s="79"/>
      <c r="AE53" s="155"/>
      <c r="AF53" s="117"/>
      <c r="AG53" s="79"/>
    </row>
    <row r="54" spans="1:33" ht="15.75" customHeight="1" x14ac:dyDescent="0.3">
      <c r="A54" s="83" t="s">
        <v>240</v>
      </c>
      <c r="B54" s="91"/>
      <c r="C54" s="12"/>
      <c r="D54" s="117"/>
      <c r="E54" s="117"/>
      <c r="F54" s="117"/>
      <c r="G54" s="117"/>
      <c r="H54" s="117"/>
      <c r="I54" s="117"/>
      <c r="J54" s="117"/>
      <c r="K54" s="79"/>
      <c r="L54" s="7"/>
      <c r="M54" s="117"/>
      <c r="N54" s="117"/>
      <c r="O54" s="117"/>
      <c r="P54" s="117"/>
      <c r="Q54" s="117"/>
      <c r="R54" s="117"/>
      <c r="S54" s="117"/>
      <c r="T54" s="79"/>
      <c r="U54" s="155"/>
      <c r="V54" s="117"/>
      <c r="W54" s="117"/>
      <c r="X54" s="117"/>
      <c r="Y54" s="117"/>
      <c r="Z54" s="79"/>
      <c r="AA54" s="7"/>
      <c r="AB54" s="117"/>
      <c r="AC54" s="117"/>
      <c r="AD54" s="79"/>
      <c r="AE54" s="155"/>
      <c r="AF54" s="117"/>
      <c r="AG54" s="79"/>
    </row>
    <row r="55" spans="1:33" ht="15.75" customHeight="1" x14ac:dyDescent="0.3">
      <c r="A55" s="83" t="s">
        <v>241</v>
      </c>
      <c r="B55" s="91"/>
      <c r="C55" s="12"/>
      <c r="D55" s="117"/>
      <c r="E55" s="117"/>
      <c r="F55" s="117"/>
      <c r="G55" s="117"/>
      <c r="H55" s="117"/>
      <c r="I55" s="117"/>
      <c r="J55" s="117"/>
      <c r="K55" s="79"/>
      <c r="L55" s="7"/>
      <c r="M55" s="117"/>
      <c r="N55" s="117"/>
      <c r="O55" s="117"/>
      <c r="P55" s="117"/>
      <c r="Q55" s="117"/>
      <c r="R55" s="117"/>
      <c r="S55" s="117"/>
      <c r="T55" s="79"/>
      <c r="U55" s="155"/>
      <c r="V55" s="117"/>
      <c r="W55" s="117"/>
      <c r="X55" s="117"/>
      <c r="Y55" s="117"/>
      <c r="Z55" s="79"/>
      <c r="AA55" s="7"/>
      <c r="AB55" s="117"/>
      <c r="AC55" s="117"/>
      <c r="AD55" s="79"/>
      <c r="AE55" s="155"/>
      <c r="AF55" s="117"/>
      <c r="AG55" s="79"/>
    </row>
    <row r="56" spans="1:33" ht="15.75" customHeight="1" x14ac:dyDescent="0.3">
      <c r="A56" s="83" t="s">
        <v>242</v>
      </c>
      <c r="B56" s="91"/>
      <c r="C56" s="12"/>
      <c r="D56" s="117"/>
      <c r="E56" s="117"/>
      <c r="F56" s="117"/>
      <c r="G56" s="117"/>
      <c r="H56" s="117"/>
      <c r="I56" s="117"/>
      <c r="J56" s="117"/>
      <c r="K56" s="79"/>
      <c r="L56" s="7"/>
      <c r="M56" s="117"/>
      <c r="N56" s="117"/>
      <c r="O56" s="117"/>
      <c r="P56" s="117"/>
      <c r="Q56" s="117"/>
      <c r="R56" s="117"/>
      <c r="S56" s="117"/>
      <c r="T56" s="79"/>
      <c r="U56" s="155"/>
      <c r="V56" s="117"/>
      <c r="W56" s="117"/>
      <c r="X56" s="117"/>
      <c r="Y56" s="117"/>
      <c r="Z56" s="79"/>
      <c r="AA56" s="7"/>
      <c r="AB56" s="117"/>
      <c r="AC56" s="117"/>
      <c r="AD56" s="79"/>
      <c r="AE56" s="155"/>
      <c r="AF56" s="117"/>
      <c r="AG56" s="79"/>
    </row>
    <row r="57" spans="1:33" ht="15.75" customHeight="1" x14ac:dyDescent="0.3">
      <c r="A57" s="83" t="s">
        <v>243</v>
      </c>
      <c r="B57" s="91"/>
      <c r="C57" s="12"/>
      <c r="D57" s="117"/>
      <c r="E57" s="117"/>
      <c r="F57" s="117"/>
      <c r="G57" s="117"/>
      <c r="H57" s="117"/>
      <c r="I57" s="117"/>
      <c r="J57" s="117"/>
      <c r="K57" s="79"/>
      <c r="L57" s="7"/>
      <c r="M57" s="117"/>
      <c r="N57" s="117"/>
      <c r="O57" s="117"/>
      <c r="P57" s="117"/>
      <c r="Q57" s="117"/>
      <c r="R57" s="117"/>
      <c r="S57" s="117"/>
      <c r="T57" s="79"/>
      <c r="U57" s="155"/>
      <c r="V57" s="117"/>
      <c r="W57" s="117"/>
      <c r="X57" s="117"/>
      <c r="Y57" s="117"/>
      <c r="Z57" s="79"/>
      <c r="AA57" s="7"/>
      <c r="AB57" s="117"/>
      <c r="AC57" s="117"/>
      <c r="AD57" s="79"/>
      <c r="AE57" s="155"/>
      <c r="AF57" s="117"/>
      <c r="AG57" s="79"/>
    </row>
    <row r="58" spans="1:33" ht="15.75" customHeight="1" x14ac:dyDescent="0.3">
      <c r="A58" s="83" t="s">
        <v>244</v>
      </c>
      <c r="B58" s="91"/>
      <c r="C58" s="12"/>
      <c r="D58" s="117"/>
      <c r="E58" s="117"/>
      <c r="F58" s="117"/>
      <c r="G58" s="117"/>
      <c r="H58" s="117"/>
      <c r="I58" s="117"/>
      <c r="J58" s="117"/>
      <c r="K58" s="79"/>
      <c r="L58" s="7"/>
      <c r="M58" s="117"/>
      <c r="N58" s="117"/>
      <c r="O58" s="117"/>
      <c r="P58" s="117"/>
      <c r="Q58" s="117"/>
      <c r="R58" s="117"/>
      <c r="S58" s="117"/>
      <c r="T58" s="79"/>
      <c r="U58" s="155"/>
      <c r="V58" s="117"/>
      <c r="W58" s="117"/>
      <c r="X58" s="117"/>
      <c r="Y58" s="117"/>
      <c r="Z58" s="79"/>
      <c r="AA58" s="7"/>
      <c r="AB58" s="117"/>
      <c r="AC58" s="117"/>
      <c r="AD58" s="79"/>
      <c r="AE58" s="155"/>
      <c r="AF58" s="117"/>
      <c r="AG58" s="79"/>
    </row>
    <row r="59" spans="1:33" ht="15.75" customHeight="1" x14ac:dyDescent="0.3">
      <c r="A59" s="83" t="s">
        <v>245</v>
      </c>
      <c r="B59" s="91"/>
      <c r="C59" s="12"/>
      <c r="D59" s="117"/>
      <c r="E59" s="117"/>
      <c r="F59" s="117"/>
      <c r="G59" s="117"/>
      <c r="H59" s="117"/>
      <c r="I59" s="117"/>
      <c r="J59" s="117"/>
      <c r="K59" s="79"/>
      <c r="L59" s="7"/>
      <c r="M59" s="117"/>
      <c r="N59" s="117"/>
      <c r="O59" s="117"/>
      <c r="P59" s="117"/>
      <c r="Q59" s="117"/>
      <c r="R59" s="117"/>
      <c r="S59" s="117"/>
      <c r="T59" s="79"/>
      <c r="U59" s="155"/>
      <c r="V59" s="117"/>
      <c r="W59" s="117"/>
      <c r="X59" s="117"/>
      <c r="Y59" s="117"/>
      <c r="Z59" s="79"/>
      <c r="AA59" s="7"/>
      <c r="AB59" s="117"/>
      <c r="AC59" s="117"/>
      <c r="AD59" s="79"/>
      <c r="AE59" s="155"/>
      <c r="AF59" s="117"/>
      <c r="AG59" s="79"/>
    </row>
    <row r="60" spans="1:33" ht="15.75" customHeight="1" x14ac:dyDescent="0.3">
      <c r="A60" s="83" t="s">
        <v>246</v>
      </c>
      <c r="B60" s="91"/>
      <c r="C60" s="12"/>
      <c r="D60" s="117"/>
      <c r="E60" s="117"/>
      <c r="F60" s="117"/>
      <c r="G60" s="117"/>
      <c r="H60" s="117"/>
      <c r="I60" s="117"/>
      <c r="J60" s="117"/>
      <c r="K60" s="79"/>
      <c r="L60" s="7"/>
      <c r="M60" s="117"/>
      <c r="N60" s="117"/>
      <c r="O60" s="117"/>
      <c r="P60" s="117"/>
      <c r="Q60" s="117"/>
      <c r="R60" s="117"/>
      <c r="S60" s="117"/>
      <c r="T60" s="79"/>
      <c r="U60" s="155"/>
      <c r="V60" s="117"/>
      <c r="W60" s="117"/>
      <c r="X60" s="117"/>
      <c r="Y60" s="117"/>
      <c r="Z60" s="79"/>
      <c r="AA60" s="7"/>
      <c r="AB60" s="117"/>
      <c r="AC60" s="117"/>
      <c r="AD60" s="79"/>
      <c r="AE60" s="155"/>
      <c r="AF60" s="117"/>
      <c r="AG60" s="79"/>
    </row>
    <row r="61" spans="1:33" ht="15.75" customHeight="1" x14ac:dyDescent="0.3">
      <c r="A61" s="83" t="s">
        <v>247</v>
      </c>
      <c r="B61" s="91"/>
      <c r="C61" s="12"/>
      <c r="D61" s="117"/>
      <c r="E61" s="117"/>
      <c r="F61" s="117"/>
      <c r="G61" s="117"/>
      <c r="H61" s="117"/>
      <c r="I61" s="117"/>
      <c r="J61" s="117"/>
      <c r="K61" s="79"/>
      <c r="L61" s="7"/>
      <c r="M61" s="117"/>
      <c r="N61" s="117"/>
      <c r="O61" s="117"/>
      <c r="P61" s="117"/>
      <c r="Q61" s="117"/>
      <c r="R61" s="117"/>
      <c r="S61" s="117"/>
      <c r="T61" s="79"/>
      <c r="U61" s="155"/>
      <c r="V61" s="117"/>
      <c r="W61" s="117"/>
      <c r="X61" s="117"/>
      <c r="Y61" s="117"/>
      <c r="Z61" s="79"/>
      <c r="AA61" s="7"/>
      <c r="AB61" s="117"/>
      <c r="AC61" s="117"/>
      <c r="AD61" s="79"/>
      <c r="AE61" s="155"/>
      <c r="AF61" s="117"/>
      <c r="AG61" s="79"/>
    </row>
    <row r="62" spans="1:33" ht="15.75" customHeight="1" x14ac:dyDescent="0.3">
      <c r="A62" s="83" t="s">
        <v>248</v>
      </c>
      <c r="B62" s="91"/>
      <c r="C62" s="12"/>
      <c r="D62" s="117"/>
      <c r="E62" s="117"/>
      <c r="F62" s="117"/>
      <c r="G62" s="117"/>
      <c r="H62" s="117"/>
      <c r="I62" s="117"/>
      <c r="J62" s="117"/>
      <c r="K62" s="79"/>
      <c r="L62" s="7"/>
      <c r="M62" s="117"/>
      <c r="N62" s="117"/>
      <c r="O62" s="117"/>
      <c r="P62" s="117"/>
      <c r="Q62" s="117"/>
      <c r="R62" s="117"/>
      <c r="S62" s="117"/>
      <c r="T62" s="79"/>
      <c r="U62" s="155"/>
      <c r="V62" s="117"/>
      <c r="W62" s="117"/>
      <c r="X62" s="117"/>
      <c r="Y62" s="117"/>
      <c r="Z62" s="79"/>
      <c r="AA62" s="7"/>
      <c r="AB62" s="117"/>
      <c r="AC62" s="117"/>
      <c r="AD62" s="79"/>
      <c r="AE62" s="155"/>
      <c r="AF62" s="117"/>
      <c r="AG62" s="79"/>
    </row>
    <row r="63" spans="1:33" ht="15.75" customHeight="1" x14ac:dyDescent="0.3">
      <c r="A63" s="83" t="s">
        <v>249</v>
      </c>
      <c r="B63" s="91"/>
      <c r="C63" s="12"/>
      <c r="D63" s="117"/>
      <c r="E63" s="117"/>
      <c r="F63" s="117"/>
      <c r="G63" s="117"/>
      <c r="H63" s="117"/>
      <c r="I63" s="117"/>
      <c r="J63" s="117"/>
      <c r="K63" s="79"/>
      <c r="L63" s="7"/>
      <c r="M63" s="117"/>
      <c r="N63" s="117"/>
      <c r="O63" s="117"/>
      <c r="P63" s="117"/>
      <c r="Q63" s="117"/>
      <c r="R63" s="117"/>
      <c r="S63" s="117"/>
      <c r="T63" s="79"/>
      <c r="U63" s="155"/>
      <c r="V63" s="117"/>
      <c r="W63" s="117"/>
      <c r="X63" s="117"/>
      <c r="Y63" s="117"/>
      <c r="Z63" s="79"/>
      <c r="AA63" s="7"/>
      <c r="AB63" s="117"/>
      <c r="AC63" s="117"/>
      <c r="AD63" s="79"/>
      <c r="AE63" s="155"/>
      <c r="AF63" s="117"/>
      <c r="AG63" s="79"/>
    </row>
    <row r="64" spans="1:33" ht="15.75" customHeight="1" x14ac:dyDescent="0.3">
      <c r="A64" s="83" t="s">
        <v>250</v>
      </c>
      <c r="B64" s="91"/>
      <c r="C64" s="12"/>
      <c r="D64" s="117"/>
      <c r="E64" s="117"/>
      <c r="F64" s="117"/>
      <c r="G64" s="117"/>
      <c r="H64" s="117"/>
      <c r="I64" s="117"/>
      <c r="J64" s="117"/>
      <c r="K64" s="79"/>
      <c r="L64" s="7"/>
      <c r="M64" s="117"/>
      <c r="N64" s="117"/>
      <c r="O64" s="117"/>
      <c r="P64" s="117"/>
      <c r="Q64" s="117"/>
      <c r="R64" s="117"/>
      <c r="S64" s="117"/>
      <c r="T64" s="79"/>
      <c r="U64" s="155"/>
      <c r="V64" s="117"/>
      <c r="W64" s="117"/>
      <c r="X64" s="117"/>
      <c r="Y64" s="117"/>
      <c r="Z64" s="79"/>
      <c r="AA64" s="7"/>
      <c r="AB64" s="117"/>
      <c r="AC64" s="117"/>
      <c r="AD64" s="79"/>
      <c r="AE64" s="155"/>
      <c r="AF64" s="117"/>
      <c r="AG64" s="79"/>
    </row>
    <row r="65" spans="1:33" ht="15.75" customHeight="1" x14ac:dyDescent="0.3">
      <c r="A65" s="83" t="s">
        <v>251</v>
      </c>
      <c r="B65" s="91"/>
      <c r="C65" s="12"/>
      <c r="D65" s="117"/>
      <c r="E65" s="117"/>
      <c r="F65" s="117"/>
      <c r="G65" s="117"/>
      <c r="H65" s="117"/>
      <c r="I65" s="117"/>
      <c r="J65" s="117"/>
      <c r="K65" s="79"/>
      <c r="L65" s="7"/>
      <c r="M65" s="117"/>
      <c r="N65" s="117"/>
      <c r="O65" s="117"/>
      <c r="P65" s="117"/>
      <c r="Q65" s="117"/>
      <c r="R65" s="117"/>
      <c r="S65" s="117"/>
      <c r="T65" s="79"/>
      <c r="U65" s="155"/>
      <c r="V65" s="117"/>
      <c r="W65" s="117"/>
      <c r="X65" s="117"/>
      <c r="Y65" s="117"/>
      <c r="Z65" s="79"/>
      <c r="AA65" s="7"/>
      <c r="AB65" s="117"/>
      <c r="AC65" s="117"/>
      <c r="AD65" s="79"/>
      <c r="AE65" s="155"/>
      <c r="AF65" s="117"/>
      <c r="AG65" s="79"/>
    </row>
    <row r="66" spans="1:33" ht="15.75" customHeight="1" x14ac:dyDescent="0.3">
      <c r="A66" s="83" t="s">
        <v>252</v>
      </c>
      <c r="B66" s="91"/>
      <c r="C66" s="12"/>
      <c r="D66" s="117"/>
      <c r="E66" s="117"/>
      <c r="F66" s="117"/>
      <c r="G66" s="117"/>
      <c r="H66" s="117"/>
      <c r="I66" s="117"/>
      <c r="J66" s="117"/>
      <c r="K66" s="79"/>
      <c r="L66" s="7"/>
      <c r="M66" s="117"/>
      <c r="N66" s="117"/>
      <c r="O66" s="117"/>
      <c r="P66" s="117"/>
      <c r="Q66" s="117"/>
      <c r="R66" s="117"/>
      <c r="S66" s="117"/>
      <c r="T66" s="79"/>
      <c r="U66" s="155"/>
      <c r="V66" s="117"/>
      <c r="W66" s="117"/>
      <c r="X66" s="117"/>
      <c r="Y66" s="117"/>
      <c r="Z66" s="79"/>
      <c r="AA66" s="7"/>
      <c r="AB66" s="117"/>
      <c r="AC66" s="117"/>
      <c r="AD66" s="79"/>
      <c r="AE66" s="155"/>
      <c r="AF66" s="117"/>
      <c r="AG66" s="79"/>
    </row>
    <row r="67" spans="1:33" ht="15.75" customHeight="1" x14ac:dyDescent="0.3">
      <c r="A67" s="83" t="s">
        <v>253</v>
      </c>
      <c r="B67" s="91"/>
      <c r="C67" s="12"/>
      <c r="D67" s="117"/>
      <c r="E67" s="117"/>
      <c r="F67" s="117"/>
      <c r="G67" s="117"/>
      <c r="H67" s="117"/>
      <c r="I67" s="117"/>
      <c r="J67" s="117"/>
      <c r="K67" s="79"/>
      <c r="L67" s="7"/>
      <c r="M67" s="117"/>
      <c r="N67" s="117"/>
      <c r="O67" s="117"/>
      <c r="P67" s="117"/>
      <c r="Q67" s="117"/>
      <c r="R67" s="117"/>
      <c r="S67" s="117"/>
      <c r="T67" s="79"/>
      <c r="U67" s="155"/>
      <c r="V67" s="117"/>
      <c r="W67" s="117"/>
      <c r="X67" s="117"/>
      <c r="Y67" s="117"/>
      <c r="Z67" s="79"/>
      <c r="AA67" s="7"/>
      <c r="AB67" s="117"/>
      <c r="AC67" s="117"/>
      <c r="AD67" s="79"/>
      <c r="AE67" s="155"/>
      <c r="AF67" s="117"/>
      <c r="AG67" s="79"/>
    </row>
    <row r="68" spans="1:33" ht="15.75" customHeight="1" x14ac:dyDescent="0.3">
      <c r="A68" s="83" t="s">
        <v>254</v>
      </c>
      <c r="B68" s="91"/>
      <c r="C68" s="12"/>
      <c r="D68" s="117"/>
      <c r="E68" s="117"/>
      <c r="F68" s="117"/>
      <c r="G68" s="117"/>
      <c r="H68" s="117"/>
      <c r="I68" s="117"/>
      <c r="J68" s="117"/>
      <c r="K68" s="79"/>
      <c r="L68" s="7"/>
      <c r="M68" s="117"/>
      <c r="N68" s="117"/>
      <c r="O68" s="117"/>
      <c r="P68" s="117"/>
      <c r="Q68" s="117"/>
      <c r="R68" s="117"/>
      <c r="S68" s="117"/>
      <c r="T68" s="79"/>
      <c r="U68" s="155"/>
      <c r="V68" s="117"/>
      <c r="W68" s="117"/>
      <c r="X68" s="117"/>
      <c r="Y68" s="117"/>
      <c r="Z68" s="79"/>
      <c r="AA68" s="7"/>
      <c r="AB68" s="117"/>
      <c r="AC68" s="117"/>
      <c r="AD68" s="79"/>
      <c r="AE68" s="155"/>
      <c r="AF68" s="117"/>
      <c r="AG68" s="79"/>
    </row>
    <row r="69" spans="1:33" ht="15.75" customHeight="1" x14ac:dyDescent="0.3">
      <c r="A69" s="83" t="s">
        <v>255</v>
      </c>
      <c r="B69" s="91"/>
      <c r="C69" s="12"/>
      <c r="D69" s="117"/>
      <c r="E69" s="117"/>
      <c r="F69" s="117"/>
      <c r="G69" s="117"/>
      <c r="H69" s="117"/>
      <c r="I69" s="117"/>
      <c r="J69" s="117"/>
      <c r="K69" s="79"/>
      <c r="L69" s="7"/>
      <c r="M69" s="117"/>
      <c r="N69" s="117"/>
      <c r="O69" s="117"/>
      <c r="P69" s="117"/>
      <c r="Q69" s="117"/>
      <c r="R69" s="117"/>
      <c r="S69" s="117"/>
      <c r="T69" s="79"/>
      <c r="U69" s="155"/>
      <c r="V69" s="117"/>
      <c r="W69" s="117"/>
      <c r="X69" s="117"/>
      <c r="Y69" s="117"/>
      <c r="Z69" s="79"/>
      <c r="AA69" s="7"/>
      <c r="AB69" s="117"/>
      <c r="AC69" s="117"/>
      <c r="AD69" s="79"/>
      <c r="AE69" s="155"/>
      <c r="AF69" s="117"/>
      <c r="AG69" s="79"/>
    </row>
    <row r="70" spans="1:33" ht="15.75" customHeight="1" x14ac:dyDescent="0.3">
      <c r="A70" s="83" t="s">
        <v>256</v>
      </c>
      <c r="B70" s="91"/>
      <c r="C70" s="12"/>
      <c r="D70" s="117"/>
      <c r="E70" s="117"/>
      <c r="F70" s="117"/>
      <c r="G70" s="117"/>
      <c r="H70" s="117"/>
      <c r="I70" s="117"/>
      <c r="J70" s="117"/>
      <c r="K70" s="79"/>
      <c r="L70" s="7"/>
      <c r="M70" s="117"/>
      <c r="N70" s="117"/>
      <c r="O70" s="117"/>
      <c r="P70" s="117"/>
      <c r="Q70" s="117"/>
      <c r="R70" s="117"/>
      <c r="S70" s="117"/>
      <c r="T70" s="79"/>
      <c r="U70" s="155"/>
      <c r="V70" s="117"/>
      <c r="W70" s="117"/>
      <c r="X70" s="117"/>
      <c r="Y70" s="117"/>
      <c r="Z70" s="79"/>
      <c r="AA70" s="7"/>
      <c r="AB70" s="117"/>
      <c r="AC70" s="117"/>
      <c r="AD70" s="79"/>
      <c r="AE70" s="155"/>
      <c r="AF70" s="117"/>
      <c r="AG70" s="79"/>
    </row>
    <row r="71" spans="1:33" ht="15.75" customHeight="1" x14ac:dyDescent="0.3">
      <c r="A71" s="83" t="s">
        <v>257</v>
      </c>
      <c r="B71" s="91"/>
      <c r="C71" s="12"/>
      <c r="D71" s="117"/>
      <c r="E71" s="117"/>
      <c r="F71" s="117"/>
      <c r="G71" s="117"/>
      <c r="H71" s="117"/>
      <c r="I71" s="117"/>
      <c r="J71" s="117"/>
      <c r="K71" s="79"/>
      <c r="L71" s="7"/>
      <c r="M71" s="117"/>
      <c r="N71" s="117"/>
      <c r="O71" s="117"/>
      <c r="P71" s="117"/>
      <c r="Q71" s="117"/>
      <c r="R71" s="117"/>
      <c r="S71" s="117"/>
      <c r="T71" s="79"/>
      <c r="U71" s="155"/>
      <c r="V71" s="117"/>
      <c r="W71" s="117"/>
      <c r="X71" s="117"/>
      <c r="Y71" s="117"/>
      <c r="Z71" s="79"/>
      <c r="AA71" s="7"/>
      <c r="AB71" s="117"/>
      <c r="AC71" s="117"/>
      <c r="AD71" s="79"/>
      <c r="AE71" s="155"/>
      <c r="AF71" s="117"/>
      <c r="AG71" s="79"/>
    </row>
    <row r="72" spans="1:33" ht="15.75" customHeight="1" x14ac:dyDescent="0.3">
      <c r="A72" s="83" t="s">
        <v>258</v>
      </c>
      <c r="B72" s="91"/>
      <c r="C72" s="12"/>
      <c r="D72" s="117"/>
      <c r="E72" s="117"/>
      <c r="F72" s="117"/>
      <c r="G72" s="117"/>
      <c r="H72" s="117"/>
      <c r="I72" s="117"/>
      <c r="J72" s="117"/>
      <c r="K72" s="79"/>
      <c r="L72" s="7"/>
      <c r="M72" s="117"/>
      <c r="N72" s="117"/>
      <c r="O72" s="117"/>
      <c r="P72" s="117"/>
      <c r="Q72" s="117"/>
      <c r="R72" s="117"/>
      <c r="S72" s="117"/>
      <c r="T72" s="79"/>
      <c r="U72" s="155"/>
      <c r="V72" s="117"/>
      <c r="W72" s="117"/>
      <c r="X72" s="117"/>
      <c r="Y72" s="117"/>
      <c r="Z72" s="79"/>
      <c r="AA72" s="7"/>
      <c r="AB72" s="117"/>
      <c r="AC72" s="117"/>
      <c r="AD72" s="79"/>
      <c r="AE72" s="155"/>
      <c r="AF72" s="117"/>
      <c r="AG72" s="79"/>
    </row>
    <row r="73" spans="1:33" ht="15.75" customHeight="1" x14ac:dyDescent="0.3">
      <c r="A73" s="83" t="s">
        <v>259</v>
      </c>
      <c r="B73" s="91"/>
      <c r="C73" s="12"/>
      <c r="D73" s="117"/>
      <c r="E73" s="117"/>
      <c r="F73" s="117"/>
      <c r="G73" s="117"/>
      <c r="H73" s="117"/>
      <c r="I73" s="117"/>
      <c r="J73" s="117"/>
      <c r="K73" s="79"/>
      <c r="L73" s="7"/>
      <c r="M73" s="117"/>
      <c r="N73" s="117"/>
      <c r="O73" s="117"/>
      <c r="P73" s="117"/>
      <c r="Q73" s="117"/>
      <c r="R73" s="117"/>
      <c r="S73" s="117"/>
      <c r="T73" s="79"/>
      <c r="U73" s="155"/>
      <c r="V73" s="117"/>
      <c r="W73" s="117"/>
      <c r="X73" s="117"/>
      <c r="Y73" s="117"/>
      <c r="Z73" s="79"/>
      <c r="AA73" s="7"/>
      <c r="AB73" s="117"/>
      <c r="AC73" s="117"/>
      <c r="AD73" s="79"/>
      <c r="AE73" s="155"/>
      <c r="AF73" s="117"/>
      <c r="AG73" s="79"/>
    </row>
    <row r="74" spans="1:33" ht="15.75" customHeight="1" x14ac:dyDescent="0.3">
      <c r="A74" s="83" t="s">
        <v>260</v>
      </c>
      <c r="B74" s="91"/>
      <c r="C74" s="12"/>
      <c r="D74" s="117"/>
      <c r="E74" s="117"/>
      <c r="F74" s="117"/>
      <c r="G74" s="117"/>
      <c r="H74" s="117"/>
      <c r="I74" s="117"/>
      <c r="J74" s="117"/>
      <c r="K74" s="79"/>
      <c r="L74" s="7"/>
      <c r="M74" s="117"/>
      <c r="N74" s="117"/>
      <c r="O74" s="117"/>
      <c r="P74" s="117"/>
      <c r="Q74" s="117"/>
      <c r="R74" s="117"/>
      <c r="S74" s="117"/>
      <c r="T74" s="79"/>
      <c r="U74" s="155"/>
      <c r="V74" s="117"/>
      <c r="W74" s="117"/>
      <c r="X74" s="117"/>
      <c r="Y74" s="117"/>
      <c r="Z74" s="79"/>
      <c r="AA74" s="7"/>
      <c r="AB74" s="117"/>
      <c r="AC74" s="117"/>
      <c r="AD74" s="79"/>
      <c r="AE74" s="155"/>
      <c r="AF74" s="117"/>
      <c r="AG74" s="79"/>
    </row>
    <row r="75" spans="1:33" ht="15.75" customHeight="1" x14ac:dyDescent="0.3">
      <c r="A75" s="83" t="s">
        <v>261</v>
      </c>
      <c r="B75" s="91"/>
      <c r="C75" s="12"/>
      <c r="D75" s="117"/>
      <c r="E75" s="117"/>
      <c r="F75" s="117"/>
      <c r="G75" s="117"/>
      <c r="H75" s="117"/>
      <c r="I75" s="117"/>
      <c r="J75" s="117"/>
      <c r="K75" s="79"/>
      <c r="L75" s="7"/>
      <c r="M75" s="117"/>
      <c r="N75" s="117"/>
      <c r="O75" s="117"/>
      <c r="P75" s="117"/>
      <c r="Q75" s="117"/>
      <c r="R75" s="117"/>
      <c r="S75" s="117"/>
      <c r="T75" s="79"/>
      <c r="U75" s="155"/>
      <c r="V75" s="117"/>
      <c r="W75" s="117"/>
      <c r="X75" s="117"/>
      <c r="Y75" s="117"/>
      <c r="Z75" s="79"/>
      <c r="AA75" s="7"/>
      <c r="AB75" s="117"/>
      <c r="AC75" s="117"/>
      <c r="AD75" s="79"/>
      <c r="AE75" s="155"/>
      <c r="AF75" s="117"/>
      <c r="AG75" s="79"/>
    </row>
    <row r="76" spans="1:33" ht="15.75" customHeight="1" x14ac:dyDescent="0.3">
      <c r="A76" s="83" t="s">
        <v>262</v>
      </c>
      <c r="B76" s="91"/>
      <c r="C76" s="12"/>
      <c r="D76" s="117"/>
      <c r="E76" s="117"/>
      <c r="F76" s="117"/>
      <c r="G76" s="117"/>
      <c r="H76" s="117"/>
      <c r="I76" s="117"/>
      <c r="J76" s="117"/>
      <c r="K76" s="79"/>
      <c r="L76" s="7"/>
      <c r="M76" s="117"/>
      <c r="N76" s="117"/>
      <c r="O76" s="117"/>
      <c r="P76" s="117"/>
      <c r="Q76" s="117"/>
      <c r="R76" s="117"/>
      <c r="S76" s="117"/>
      <c r="T76" s="79"/>
      <c r="U76" s="155"/>
      <c r="V76" s="117"/>
      <c r="W76" s="117"/>
      <c r="X76" s="117"/>
      <c r="Y76" s="117"/>
      <c r="Z76" s="79"/>
      <c r="AA76" s="7"/>
      <c r="AB76" s="117"/>
      <c r="AC76" s="117"/>
      <c r="AD76" s="79"/>
      <c r="AE76" s="155"/>
      <c r="AF76" s="117"/>
      <c r="AG76" s="79"/>
    </row>
    <row r="77" spans="1:33" ht="15.75" customHeight="1" x14ac:dyDescent="0.3">
      <c r="A77" s="83" t="s">
        <v>263</v>
      </c>
      <c r="B77" s="91"/>
      <c r="C77" s="12"/>
      <c r="D77" s="117"/>
      <c r="E77" s="117"/>
      <c r="F77" s="117"/>
      <c r="G77" s="117"/>
      <c r="H77" s="117"/>
      <c r="I77" s="117"/>
      <c r="J77" s="117"/>
      <c r="K77" s="79"/>
      <c r="L77" s="7"/>
      <c r="M77" s="117"/>
      <c r="N77" s="117"/>
      <c r="O77" s="117"/>
      <c r="P77" s="117"/>
      <c r="Q77" s="117"/>
      <c r="R77" s="117"/>
      <c r="S77" s="117"/>
      <c r="T77" s="79"/>
      <c r="U77" s="155"/>
      <c r="V77" s="117"/>
      <c r="W77" s="117"/>
      <c r="X77" s="117"/>
      <c r="Y77" s="117"/>
      <c r="Z77" s="79"/>
      <c r="AA77" s="7"/>
      <c r="AB77" s="117"/>
      <c r="AC77" s="117"/>
      <c r="AD77" s="79"/>
      <c r="AE77" s="155"/>
      <c r="AF77" s="117"/>
      <c r="AG77" s="79"/>
    </row>
    <row r="78" spans="1:33" ht="15.75" customHeight="1" x14ac:dyDescent="0.3">
      <c r="A78" s="83" t="s">
        <v>264</v>
      </c>
      <c r="B78" s="91"/>
      <c r="C78" s="12"/>
      <c r="D78" s="117"/>
      <c r="E78" s="117"/>
      <c r="F78" s="117"/>
      <c r="G78" s="117"/>
      <c r="H78" s="117"/>
      <c r="I78" s="117"/>
      <c r="J78" s="117"/>
      <c r="K78" s="79"/>
      <c r="L78" s="7"/>
      <c r="M78" s="117"/>
      <c r="N78" s="117"/>
      <c r="O78" s="117"/>
      <c r="P78" s="117"/>
      <c r="Q78" s="117"/>
      <c r="R78" s="117"/>
      <c r="S78" s="117"/>
      <c r="T78" s="79"/>
      <c r="U78" s="155"/>
      <c r="V78" s="117"/>
      <c r="W78" s="117"/>
      <c r="X78" s="117"/>
      <c r="Y78" s="117"/>
      <c r="Z78" s="79"/>
      <c r="AA78" s="7"/>
      <c r="AB78" s="117"/>
      <c r="AC78" s="117"/>
      <c r="AD78" s="79"/>
      <c r="AE78" s="155"/>
      <c r="AF78" s="117"/>
      <c r="AG78" s="79"/>
    </row>
    <row r="79" spans="1:33" ht="15.75" customHeight="1" x14ac:dyDescent="0.3">
      <c r="A79" s="83" t="s">
        <v>265</v>
      </c>
      <c r="B79" s="91"/>
      <c r="C79" s="12"/>
      <c r="D79" s="117"/>
      <c r="E79" s="117"/>
      <c r="F79" s="117"/>
      <c r="G79" s="117"/>
      <c r="H79" s="117"/>
      <c r="I79" s="117"/>
      <c r="J79" s="117"/>
      <c r="K79" s="79"/>
      <c r="L79" s="7"/>
      <c r="M79" s="117"/>
      <c r="N79" s="117"/>
      <c r="O79" s="117"/>
      <c r="P79" s="117"/>
      <c r="Q79" s="117"/>
      <c r="R79" s="117"/>
      <c r="S79" s="117"/>
      <c r="T79" s="79"/>
      <c r="U79" s="155"/>
      <c r="V79" s="117"/>
      <c r="W79" s="117"/>
      <c r="X79" s="117"/>
      <c r="Y79" s="117"/>
      <c r="Z79" s="79"/>
      <c r="AA79" s="7"/>
      <c r="AB79" s="117"/>
      <c r="AC79" s="117"/>
      <c r="AD79" s="79"/>
      <c r="AE79" s="155"/>
      <c r="AF79" s="117"/>
      <c r="AG79" s="79"/>
    </row>
    <row r="80" spans="1:33" ht="15.75" customHeight="1" x14ac:dyDescent="0.3">
      <c r="A80" s="83" t="s">
        <v>266</v>
      </c>
      <c r="B80" s="91"/>
      <c r="C80" s="12"/>
      <c r="D80" s="117"/>
      <c r="E80" s="117"/>
      <c r="F80" s="117"/>
      <c r="G80" s="117"/>
      <c r="H80" s="117"/>
      <c r="I80" s="117"/>
      <c r="J80" s="117"/>
      <c r="K80" s="79"/>
      <c r="L80" s="7"/>
      <c r="M80" s="117"/>
      <c r="N80" s="117"/>
      <c r="O80" s="117"/>
      <c r="P80" s="117"/>
      <c r="Q80" s="117"/>
      <c r="R80" s="117"/>
      <c r="S80" s="117"/>
      <c r="T80" s="79"/>
      <c r="U80" s="155"/>
      <c r="V80" s="117"/>
      <c r="W80" s="117"/>
      <c r="X80" s="117"/>
      <c r="Y80" s="117"/>
      <c r="Z80" s="79"/>
      <c r="AA80" s="7"/>
      <c r="AB80" s="117"/>
      <c r="AC80" s="117"/>
      <c r="AD80" s="79"/>
      <c r="AE80" s="155"/>
      <c r="AF80" s="117"/>
      <c r="AG80" s="79"/>
    </row>
    <row r="81" spans="1:33" ht="15.75" customHeight="1" x14ac:dyDescent="0.3">
      <c r="A81" s="83" t="s">
        <v>267</v>
      </c>
      <c r="B81" s="91"/>
      <c r="C81" s="12"/>
      <c r="D81" s="117"/>
      <c r="E81" s="117"/>
      <c r="F81" s="117"/>
      <c r="G81" s="117"/>
      <c r="H81" s="117"/>
      <c r="I81" s="117"/>
      <c r="J81" s="117"/>
      <c r="K81" s="79"/>
      <c r="L81" s="7"/>
      <c r="M81" s="117"/>
      <c r="N81" s="117"/>
      <c r="O81" s="117"/>
      <c r="P81" s="117"/>
      <c r="Q81" s="117"/>
      <c r="R81" s="117"/>
      <c r="S81" s="117"/>
      <c r="T81" s="79"/>
      <c r="U81" s="155"/>
      <c r="V81" s="117"/>
      <c r="W81" s="117"/>
      <c r="X81" s="117"/>
      <c r="Y81" s="117"/>
      <c r="Z81" s="79"/>
      <c r="AA81" s="7"/>
      <c r="AB81" s="117"/>
      <c r="AC81" s="117"/>
      <c r="AD81" s="79"/>
      <c r="AE81" s="155"/>
      <c r="AF81" s="117"/>
      <c r="AG81" s="79"/>
    </row>
    <row r="82" spans="1:33" ht="15.75" customHeight="1" x14ac:dyDescent="0.3">
      <c r="A82" s="83" t="s">
        <v>268</v>
      </c>
      <c r="B82" s="91"/>
      <c r="C82" s="12"/>
      <c r="D82" s="117"/>
      <c r="E82" s="117"/>
      <c r="F82" s="117"/>
      <c r="G82" s="117"/>
      <c r="H82" s="117"/>
      <c r="I82" s="117"/>
      <c r="J82" s="117"/>
      <c r="K82" s="79"/>
      <c r="L82" s="7"/>
      <c r="M82" s="117"/>
      <c r="N82" s="117"/>
      <c r="O82" s="117"/>
      <c r="P82" s="117"/>
      <c r="Q82" s="117"/>
      <c r="R82" s="117"/>
      <c r="S82" s="117"/>
      <c r="T82" s="79"/>
      <c r="U82" s="155"/>
      <c r="V82" s="117"/>
      <c r="W82" s="117"/>
      <c r="X82" s="117"/>
      <c r="Y82" s="117"/>
      <c r="Z82" s="79"/>
      <c r="AA82" s="7"/>
      <c r="AB82" s="117"/>
      <c r="AC82" s="117"/>
      <c r="AD82" s="79"/>
      <c r="AE82" s="155"/>
      <c r="AF82" s="117"/>
      <c r="AG82" s="79"/>
    </row>
    <row r="83" spans="1:33" ht="15.75" customHeight="1" x14ac:dyDescent="0.3">
      <c r="A83" s="83" t="s">
        <v>269</v>
      </c>
      <c r="B83" s="91"/>
      <c r="C83" s="12"/>
      <c r="D83" s="117"/>
      <c r="E83" s="117"/>
      <c r="F83" s="117"/>
      <c r="G83" s="117"/>
      <c r="H83" s="117"/>
      <c r="I83" s="117"/>
      <c r="J83" s="117"/>
      <c r="K83" s="79"/>
      <c r="L83" s="7"/>
      <c r="M83" s="117"/>
      <c r="N83" s="117"/>
      <c r="O83" s="117"/>
      <c r="P83" s="117"/>
      <c r="Q83" s="117"/>
      <c r="R83" s="117"/>
      <c r="S83" s="117"/>
      <c r="T83" s="79"/>
      <c r="U83" s="155"/>
      <c r="V83" s="117"/>
      <c r="W83" s="117"/>
      <c r="X83" s="117"/>
      <c r="Y83" s="117"/>
      <c r="Z83" s="79"/>
      <c r="AA83" s="7"/>
      <c r="AB83" s="117"/>
      <c r="AC83" s="117"/>
      <c r="AD83" s="79"/>
      <c r="AE83" s="155"/>
      <c r="AF83" s="117"/>
      <c r="AG83" s="79"/>
    </row>
    <row r="84" spans="1:33" ht="15.75" customHeight="1" x14ac:dyDescent="0.3">
      <c r="A84" s="83" t="s">
        <v>270</v>
      </c>
      <c r="B84" s="91"/>
      <c r="C84" s="12"/>
      <c r="D84" s="117"/>
      <c r="E84" s="117"/>
      <c r="F84" s="117"/>
      <c r="G84" s="117"/>
      <c r="H84" s="117"/>
      <c r="I84" s="117"/>
      <c r="J84" s="117"/>
      <c r="K84" s="79"/>
      <c r="L84" s="7"/>
      <c r="M84" s="117"/>
      <c r="N84" s="117"/>
      <c r="O84" s="117"/>
      <c r="P84" s="117"/>
      <c r="Q84" s="117"/>
      <c r="R84" s="117"/>
      <c r="S84" s="117"/>
      <c r="T84" s="79"/>
      <c r="U84" s="155"/>
      <c r="V84" s="117"/>
      <c r="W84" s="117"/>
      <c r="X84" s="117"/>
      <c r="Y84" s="117"/>
      <c r="Z84" s="79"/>
      <c r="AA84" s="7"/>
      <c r="AB84" s="117"/>
      <c r="AC84" s="117"/>
      <c r="AD84" s="79"/>
      <c r="AE84" s="155"/>
      <c r="AF84" s="117"/>
      <c r="AG84" s="79"/>
    </row>
    <row r="85" spans="1:33" ht="15.75" customHeight="1" x14ac:dyDescent="0.3">
      <c r="A85" s="83" t="s">
        <v>271</v>
      </c>
      <c r="B85" s="91"/>
      <c r="C85" s="12"/>
      <c r="D85" s="117"/>
      <c r="E85" s="117"/>
      <c r="F85" s="117"/>
      <c r="G85" s="117"/>
      <c r="H85" s="117"/>
      <c r="I85" s="117"/>
      <c r="J85" s="117"/>
      <c r="K85" s="79"/>
      <c r="L85" s="7"/>
      <c r="M85" s="117"/>
      <c r="N85" s="117"/>
      <c r="O85" s="117"/>
      <c r="P85" s="117"/>
      <c r="Q85" s="117"/>
      <c r="R85" s="117"/>
      <c r="S85" s="117"/>
      <c r="T85" s="79"/>
      <c r="U85" s="155"/>
      <c r="V85" s="117"/>
      <c r="W85" s="117"/>
      <c r="X85" s="117"/>
      <c r="Y85" s="117"/>
      <c r="Z85" s="79"/>
      <c r="AA85" s="7"/>
      <c r="AB85" s="117"/>
      <c r="AC85" s="117"/>
      <c r="AD85" s="79"/>
      <c r="AE85" s="155"/>
      <c r="AF85" s="117"/>
      <c r="AG85" s="79"/>
    </row>
    <row r="86" spans="1:33" ht="15.75" customHeight="1" x14ac:dyDescent="0.3">
      <c r="A86" s="83" t="s">
        <v>272</v>
      </c>
      <c r="B86" s="91"/>
      <c r="C86" s="12"/>
      <c r="D86" s="117"/>
      <c r="E86" s="117"/>
      <c r="F86" s="117"/>
      <c r="G86" s="117"/>
      <c r="H86" s="117"/>
      <c r="I86" s="117"/>
      <c r="J86" s="117"/>
      <c r="K86" s="79"/>
      <c r="L86" s="7"/>
      <c r="M86" s="117"/>
      <c r="N86" s="117"/>
      <c r="O86" s="117"/>
      <c r="P86" s="117"/>
      <c r="Q86" s="117"/>
      <c r="R86" s="117"/>
      <c r="S86" s="117"/>
      <c r="T86" s="79"/>
      <c r="U86" s="155"/>
      <c r="V86" s="117"/>
      <c r="W86" s="117"/>
      <c r="X86" s="117"/>
      <c r="Y86" s="117"/>
      <c r="Z86" s="79"/>
      <c r="AA86" s="7"/>
      <c r="AB86" s="117"/>
      <c r="AC86" s="117"/>
      <c r="AD86" s="79"/>
      <c r="AE86" s="155"/>
      <c r="AF86" s="117"/>
      <c r="AG86" s="79"/>
    </row>
    <row r="87" spans="1:33" ht="15.75" customHeight="1" x14ac:dyDescent="0.3">
      <c r="A87" s="83" t="s">
        <v>273</v>
      </c>
      <c r="B87" s="91"/>
      <c r="C87" s="12"/>
      <c r="D87" s="117"/>
      <c r="E87" s="117"/>
      <c r="F87" s="117"/>
      <c r="G87" s="117"/>
      <c r="H87" s="117"/>
      <c r="I87" s="117"/>
      <c r="J87" s="117"/>
      <c r="K87" s="79"/>
      <c r="L87" s="7"/>
      <c r="M87" s="117"/>
      <c r="N87" s="117"/>
      <c r="O87" s="117"/>
      <c r="P87" s="117"/>
      <c r="Q87" s="117"/>
      <c r="R87" s="117"/>
      <c r="S87" s="117"/>
      <c r="T87" s="79"/>
      <c r="U87" s="155"/>
      <c r="V87" s="117"/>
      <c r="W87" s="117"/>
      <c r="X87" s="117"/>
      <c r="Y87" s="117"/>
      <c r="Z87" s="79"/>
      <c r="AA87" s="7"/>
      <c r="AB87" s="117"/>
      <c r="AC87" s="117"/>
      <c r="AD87" s="79"/>
      <c r="AE87" s="155"/>
      <c r="AF87" s="117"/>
      <c r="AG87" s="79"/>
    </row>
    <row r="88" spans="1:33" ht="15.75" customHeight="1" x14ac:dyDescent="0.3">
      <c r="A88" s="83" t="s">
        <v>274</v>
      </c>
      <c r="B88" s="91"/>
      <c r="C88" s="12"/>
      <c r="D88" s="117"/>
      <c r="E88" s="117"/>
      <c r="F88" s="117"/>
      <c r="G88" s="117"/>
      <c r="H88" s="117"/>
      <c r="I88" s="117"/>
      <c r="J88" s="117"/>
      <c r="K88" s="79"/>
      <c r="L88" s="7"/>
      <c r="M88" s="117"/>
      <c r="N88" s="117"/>
      <c r="O88" s="117"/>
      <c r="P88" s="117"/>
      <c r="Q88" s="117"/>
      <c r="R88" s="117"/>
      <c r="S88" s="117"/>
      <c r="T88" s="79"/>
      <c r="U88" s="155"/>
      <c r="V88" s="117"/>
      <c r="W88" s="117"/>
      <c r="X88" s="117"/>
      <c r="Y88" s="117"/>
      <c r="Z88" s="79"/>
      <c r="AA88" s="7"/>
      <c r="AB88" s="117"/>
      <c r="AC88" s="117"/>
      <c r="AD88" s="79"/>
      <c r="AE88" s="155"/>
      <c r="AF88" s="117"/>
      <c r="AG88" s="79"/>
    </row>
    <row r="89" spans="1:33" ht="15.75" customHeight="1" x14ac:dyDescent="0.3">
      <c r="A89" s="83" t="s">
        <v>275</v>
      </c>
      <c r="B89" s="91"/>
      <c r="C89" s="12"/>
      <c r="D89" s="117"/>
      <c r="E89" s="117"/>
      <c r="F89" s="117"/>
      <c r="G89" s="117"/>
      <c r="H89" s="117"/>
      <c r="I89" s="117"/>
      <c r="J89" s="117"/>
      <c r="K89" s="79"/>
      <c r="L89" s="7"/>
      <c r="M89" s="117"/>
      <c r="N89" s="117"/>
      <c r="O89" s="117"/>
      <c r="P89" s="117"/>
      <c r="Q89" s="117"/>
      <c r="R89" s="117"/>
      <c r="S89" s="117"/>
      <c r="T89" s="79"/>
      <c r="U89" s="155"/>
      <c r="V89" s="117"/>
      <c r="W89" s="117"/>
      <c r="X89" s="117"/>
      <c r="Y89" s="117"/>
      <c r="Z89" s="79"/>
      <c r="AA89" s="7"/>
      <c r="AB89" s="117"/>
      <c r="AC89" s="117"/>
      <c r="AD89" s="79"/>
      <c r="AE89" s="155"/>
      <c r="AF89" s="117"/>
      <c r="AG89" s="79"/>
    </row>
    <row r="90" spans="1:33" ht="15.75" customHeight="1" x14ac:dyDescent="0.3">
      <c r="A90" s="83" t="s">
        <v>276</v>
      </c>
      <c r="B90" s="91"/>
      <c r="C90" s="12"/>
      <c r="D90" s="117"/>
      <c r="E90" s="117"/>
      <c r="F90" s="117"/>
      <c r="G90" s="117"/>
      <c r="H90" s="117"/>
      <c r="I90" s="117"/>
      <c r="J90" s="117"/>
      <c r="K90" s="79"/>
      <c r="L90" s="7"/>
      <c r="M90" s="117"/>
      <c r="N90" s="117"/>
      <c r="O90" s="117"/>
      <c r="P90" s="117"/>
      <c r="Q90" s="117"/>
      <c r="R90" s="117"/>
      <c r="S90" s="117"/>
      <c r="T90" s="79"/>
      <c r="U90" s="155"/>
      <c r="V90" s="117"/>
      <c r="W90" s="117"/>
      <c r="X90" s="117"/>
      <c r="Y90" s="117"/>
      <c r="Z90" s="79"/>
      <c r="AA90" s="7"/>
      <c r="AB90" s="117"/>
      <c r="AC90" s="117"/>
      <c r="AD90" s="79"/>
      <c r="AE90" s="155"/>
      <c r="AF90" s="117"/>
      <c r="AG90" s="79"/>
    </row>
    <row r="91" spans="1:33" ht="15.75" customHeight="1" x14ac:dyDescent="0.3">
      <c r="A91" s="83" t="s">
        <v>277</v>
      </c>
      <c r="B91" s="91"/>
      <c r="C91" s="12"/>
      <c r="D91" s="117"/>
      <c r="E91" s="117"/>
      <c r="F91" s="117"/>
      <c r="G91" s="117"/>
      <c r="H91" s="117"/>
      <c r="I91" s="117"/>
      <c r="J91" s="117"/>
      <c r="K91" s="79"/>
      <c r="L91" s="7"/>
      <c r="M91" s="117"/>
      <c r="N91" s="117"/>
      <c r="O91" s="117"/>
      <c r="P91" s="117"/>
      <c r="Q91" s="117"/>
      <c r="R91" s="117"/>
      <c r="S91" s="117"/>
      <c r="T91" s="79"/>
      <c r="U91" s="155"/>
      <c r="V91" s="117"/>
      <c r="W91" s="117"/>
      <c r="X91" s="117"/>
      <c r="Y91" s="117"/>
      <c r="Z91" s="79"/>
      <c r="AA91" s="7"/>
      <c r="AB91" s="117"/>
      <c r="AC91" s="117"/>
      <c r="AD91" s="79"/>
      <c r="AE91" s="155"/>
      <c r="AF91" s="117"/>
      <c r="AG91" s="79"/>
    </row>
    <row r="92" spans="1:33" ht="15.75" customHeight="1" x14ac:dyDescent="0.3">
      <c r="A92" s="83" t="s">
        <v>278</v>
      </c>
      <c r="B92" s="91"/>
      <c r="C92" s="12"/>
      <c r="D92" s="118"/>
      <c r="E92" s="118"/>
      <c r="F92" s="118"/>
      <c r="G92" s="118"/>
      <c r="H92" s="118"/>
      <c r="I92" s="118"/>
      <c r="J92" s="118"/>
      <c r="K92" s="121"/>
      <c r="L92" s="7"/>
      <c r="M92" s="118"/>
      <c r="N92" s="118"/>
      <c r="O92" s="118"/>
      <c r="P92" s="118"/>
      <c r="Q92" s="117"/>
      <c r="R92" s="118"/>
      <c r="S92" s="118"/>
      <c r="T92" s="79"/>
      <c r="U92" s="155"/>
      <c r="V92" s="117"/>
      <c r="W92" s="117"/>
      <c r="X92" s="117"/>
      <c r="Y92" s="117"/>
      <c r="Z92" s="79"/>
      <c r="AA92" s="7"/>
      <c r="AB92" s="117"/>
      <c r="AC92" s="117"/>
      <c r="AD92" s="79"/>
      <c r="AE92" s="155"/>
      <c r="AF92" s="117"/>
      <c r="AG92" s="79"/>
    </row>
    <row r="93" spans="1:33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9"/>
      <c r="U93" s="155"/>
      <c r="V93" s="117"/>
      <c r="W93" s="117"/>
      <c r="X93" s="117"/>
      <c r="Y93" s="117"/>
      <c r="Z93" s="79"/>
      <c r="AA93" s="7"/>
      <c r="AB93" s="117"/>
      <c r="AC93" s="117"/>
      <c r="AD93" s="79"/>
      <c r="AE93" s="155"/>
      <c r="AF93" s="117"/>
      <c r="AG93" s="79"/>
    </row>
    <row r="94" spans="1:33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9"/>
      <c r="U94" s="155"/>
      <c r="V94" s="117"/>
      <c r="W94" s="117"/>
      <c r="X94" s="117"/>
      <c r="Y94" s="117"/>
      <c r="Z94" s="79"/>
      <c r="AA94" s="7"/>
      <c r="AB94" s="117"/>
      <c r="AC94" s="117"/>
      <c r="AD94" s="79"/>
      <c r="AE94" s="155"/>
      <c r="AF94" s="118"/>
      <c r="AG94" s="79"/>
    </row>
    <row r="95" spans="1:33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155"/>
      <c r="V95" s="118"/>
      <c r="W95" s="118"/>
      <c r="X95" s="118"/>
      <c r="Y95" s="118"/>
      <c r="Z95" s="79"/>
      <c r="AA95" s="7"/>
      <c r="AB95" s="118"/>
      <c r="AC95" s="118"/>
      <c r="AD95" s="79"/>
      <c r="AE95" s="7"/>
      <c r="AF95" s="7"/>
      <c r="AG95" s="79"/>
    </row>
    <row r="96" spans="1:33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69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5.75" customHeight="1" x14ac:dyDescent="0.3">
      <c r="A103" s="7" t="s">
        <v>44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5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5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5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5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5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5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5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5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5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5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5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5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5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5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5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5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5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5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5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5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5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5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5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5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5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5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5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5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5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5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5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5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5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5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5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5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5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5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5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5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5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5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5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5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5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5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5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5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5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5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5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5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5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5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5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5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5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5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5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5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5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5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5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5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5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5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5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5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5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5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5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5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5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5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5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5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5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5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5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5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5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5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5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5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5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5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5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5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5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5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5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5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5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5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5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5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5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5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5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5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5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5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5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5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5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5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5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5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5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5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5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5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5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5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5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5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5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5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5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5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5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5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5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5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5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5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5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5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5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5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5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5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5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5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5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5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5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5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5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5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5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5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5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5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5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5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5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5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5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5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5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5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5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5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5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5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5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5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5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5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5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5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5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5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5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5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5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5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5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5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5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5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5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5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5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5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5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5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5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5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5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5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5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5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5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5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5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5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5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5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5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5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5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5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5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5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5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5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5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5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5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5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5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5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5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5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5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5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5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5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5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5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5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5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5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5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5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5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5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5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5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5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5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5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5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5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5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5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5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5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5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5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5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5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5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5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5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5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5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5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5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5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5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5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5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5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5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5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5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5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5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5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5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5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5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5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5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5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5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5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5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5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5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5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5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5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5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5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5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5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5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5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5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5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5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5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5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5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5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5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5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5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5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5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5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5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5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5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5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5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5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5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5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5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5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5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5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5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5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5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5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5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5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5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5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5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5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5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5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5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5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5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5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5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5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5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5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5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5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5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5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5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5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5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5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5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5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5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5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5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5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5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5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5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5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5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5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5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5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5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5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5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5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5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5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5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5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5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5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5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5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5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5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5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5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5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5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5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5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5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5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5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5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5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5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5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5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5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5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5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5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5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5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5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5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5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5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5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5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5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5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5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5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5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5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5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5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5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5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5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5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5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5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5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5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5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5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5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5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5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5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5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5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5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5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5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5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5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5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5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5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5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5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5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5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5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5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5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5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5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5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5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5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5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5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5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5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5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5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5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5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5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5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5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5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5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5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5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5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5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5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5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5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5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5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5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5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5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5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5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5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5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5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5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5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5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5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5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5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5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5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5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5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5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5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5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5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5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5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5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5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5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5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5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5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5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5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5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5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5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5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5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5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5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5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5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5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5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5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5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5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ht="15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 ht="15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ht="15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 ht="15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ht="15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ht="15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ht="15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ht="15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ht="15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ht="15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 ht="15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ht="15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ht="15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ht="15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ht="15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 ht="15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 ht="15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ht="15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 spans="1:33" ht="15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 spans="1:33" ht="15.75" customHeight="1" x14ac:dyDescent="0.3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</sheetData>
  <mergeCells count="2">
    <mergeCell ref="AE1:AG1"/>
    <mergeCell ref="AA1:AD1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0"/>
  <sheetViews>
    <sheetView workbookViewId="0">
      <pane xSplit="2" ySplit="1" topLeftCell="V2" activePane="bottomRight" state="frozen"/>
      <selection pane="topRight" activeCell="C1" sqref="C1"/>
      <selection pane="bottomLeft" activeCell="A2" sqref="A2"/>
      <selection pane="bottomRight" activeCell="I52" sqref="I52"/>
    </sheetView>
  </sheetViews>
  <sheetFormatPr baseColWidth="10" defaultColWidth="12.59765625" defaultRowHeight="15" customHeight="1" x14ac:dyDescent="0.25"/>
  <cols>
    <col min="1" max="1" width="10.09765625" customWidth="1"/>
    <col min="2" max="2" width="19" customWidth="1"/>
    <col min="3" max="27" width="20" customWidth="1"/>
    <col min="28" max="28" width="13.3984375" bestFit="1" customWidth="1"/>
    <col min="29" max="29" width="10.09765625" customWidth="1"/>
    <col min="30" max="30" width="15" bestFit="1" customWidth="1"/>
    <col min="31" max="31" width="14.59765625" bestFit="1" customWidth="1"/>
    <col min="32" max="34" width="10.09765625" customWidth="1"/>
  </cols>
  <sheetData>
    <row r="1" spans="1:34" ht="14.4" x14ac:dyDescent="0.3">
      <c r="A1" s="7"/>
      <c r="B1" s="19"/>
      <c r="C1" s="45" t="s">
        <v>45</v>
      </c>
      <c r="D1" s="45" t="s">
        <v>45</v>
      </c>
      <c r="E1" s="45" t="s">
        <v>45</v>
      </c>
      <c r="F1" s="45" t="s">
        <v>45</v>
      </c>
      <c r="G1" s="45" t="s">
        <v>45</v>
      </c>
      <c r="H1" s="45" t="s">
        <v>45</v>
      </c>
      <c r="I1" s="45" t="s">
        <v>45</v>
      </c>
      <c r="J1" s="45" t="s">
        <v>45</v>
      </c>
      <c r="K1" s="45" t="s">
        <v>45</v>
      </c>
      <c r="L1" s="45" t="s">
        <v>45</v>
      </c>
      <c r="M1" s="46" t="s">
        <v>46</v>
      </c>
      <c r="N1" s="46" t="s">
        <v>46</v>
      </c>
      <c r="O1" s="46" t="s">
        <v>46</v>
      </c>
      <c r="P1" s="46" t="s">
        <v>46</v>
      </c>
      <c r="Q1" s="46" t="s">
        <v>46</v>
      </c>
      <c r="R1" s="46" t="s">
        <v>46</v>
      </c>
      <c r="S1" s="46" t="s">
        <v>46</v>
      </c>
      <c r="T1" s="46" t="s">
        <v>46</v>
      </c>
      <c r="U1" s="46" t="s">
        <v>46</v>
      </c>
      <c r="V1" s="205" t="s">
        <v>47</v>
      </c>
      <c r="W1" s="205" t="s">
        <v>47</v>
      </c>
      <c r="X1" s="205" t="s">
        <v>47</v>
      </c>
      <c r="Y1" s="205" t="s">
        <v>47</v>
      </c>
      <c r="Z1" s="205" t="s">
        <v>47</v>
      </c>
      <c r="AA1" s="205" t="s">
        <v>47</v>
      </c>
      <c r="AB1" s="231" t="s">
        <v>48</v>
      </c>
      <c r="AC1" s="231"/>
      <c r="AD1" s="231"/>
      <c r="AE1" s="231"/>
      <c r="AF1" s="231" t="s">
        <v>528</v>
      </c>
      <c r="AG1" s="236"/>
      <c r="AH1" s="236"/>
    </row>
    <row r="2" spans="1:34" ht="15" customHeight="1" x14ac:dyDescent="0.25">
      <c r="A2" s="14"/>
      <c r="B2" s="47" t="s">
        <v>49</v>
      </c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48">
        <v>11</v>
      </c>
      <c r="N2" s="48">
        <v>12</v>
      </c>
      <c r="O2" s="48">
        <v>13</v>
      </c>
      <c r="P2" s="48">
        <v>14</v>
      </c>
      <c r="Q2" s="48">
        <v>15</v>
      </c>
      <c r="R2" s="48">
        <v>16</v>
      </c>
      <c r="S2" s="48">
        <v>17</v>
      </c>
      <c r="T2" s="48">
        <v>18</v>
      </c>
      <c r="U2" s="48">
        <v>19</v>
      </c>
      <c r="V2" s="48">
        <v>20</v>
      </c>
      <c r="W2" s="48">
        <v>21</v>
      </c>
      <c r="X2" s="48">
        <v>22</v>
      </c>
      <c r="Y2" s="48">
        <v>23</v>
      </c>
      <c r="Z2" s="48">
        <v>24</v>
      </c>
      <c r="AA2" s="48">
        <v>25</v>
      </c>
      <c r="AB2" s="15">
        <v>26</v>
      </c>
      <c r="AC2" s="15">
        <v>27</v>
      </c>
      <c r="AD2" s="15">
        <v>28</v>
      </c>
      <c r="AE2" s="15">
        <v>29</v>
      </c>
      <c r="AF2" s="15">
        <v>30</v>
      </c>
      <c r="AG2" s="15">
        <v>31</v>
      </c>
      <c r="AH2" s="15">
        <v>32</v>
      </c>
    </row>
    <row r="3" spans="1:34" ht="28.8" x14ac:dyDescent="0.25">
      <c r="A3" s="14"/>
      <c r="B3" s="49" t="s">
        <v>50</v>
      </c>
      <c r="C3" s="48" t="s">
        <v>490</v>
      </c>
      <c r="D3" s="48" t="s">
        <v>52</v>
      </c>
      <c r="E3" s="48" t="s">
        <v>475</v>
      </c>
      <c r="F3" s="204" t="s">
        <v>459</v>
      </c>
      <c r="G3" s="48" t="s">
        <v>53</v>
      </c>
      <c r="H3" s="48" t="s">
        <v>476</v>
      </c>
      <c r="I3" s="48" t="s">
        <v>541</v>
      </c>
      <c r="J3" s="204" t="s">
        <v>477</v>
      </c>
      <c r="K3" s="204" t="s">
        <v>478</v>
      </c>
      <c r="L3" s="48" t="s">
        <v>479</v>
      </c>
      <c r="M3" s="204" t="s">
        <v>480</v>
      </c>
      <c r="N3" s="202" t="s">
        <v>430</v>
      </c>
      <c r="O3" s="204" t="s">
        <v>481</v>
      </c>
      <c r="P3" s="202" t="s">
        <v>482</v>
      </c>
      <c r="Q3" s="202" t="s">
        <v>483</v>
      </c>
      <c r="R3" s="202" t="s">
        <v>484</v>
      </c>
      <c r="S3" s="202" t="s">
        <v>485</v>
      </c>
      <c r="T3" s="204" t="s">
        <v>486</v>
      </c>
      <c r="U3" s="202" t="s">
        <v>445</v>
      </c>
      <c r="V3" s="202" t="s">
        <v>64</v>
      </c>
      <c r="W3" s="211" t="s">
        <v>487</v>
      </c>
      <c r="X3" s="204" t="s">
        <v>65</v>
      </c>
      <c r="Y3" s="202" t="s">
        <v>488</v>
      </c>
      <c r="Z3" s="202" t="s">
        <v>452</v>
      </c>
      <c r="AA3" s="204" t="s">
        <v>489</v>
      </c>
      <c r="AB3" s="15" t="s">
        <v>69</v>
      </c>
      <c r="AC3" s="15" t="s">
        <v>70</v>
      </c>
      <c r="AD3" s="15" t="s">
        <v>71</v>
      </c>
      <c r="AE3" s="15" t="s">
        <v>72</v>
      </c>
      <c r="AF3" s="15" t="s">
        <v>76</v>
      </c>
      <c r="AG3" s="15" t="s">
        <v>77</v>
      </c>
      <c r="AH3" s="15" t="s">
        <v>78</v>
      </c>
    </row>
    <row r="4" spans="1:34" ht="57" customHeight="1" x14ac:dyDescent="0.25">
      <c r="A4" s="8"/>
      <c r="B4" s="16" t="s">
        <v>79</v>
      </c>
      <c r="C4" s="182" t="s">
        <v>80</v>
      </c>
      <c r="D4" s="182" t="s">
        <v>81</v>
      </c>
      <c r="E4" s="182" t="s">
        <v>82</v>
      </c>
      <c r="F4" s="182" t="s">
        <v>493</v>
      </c>
      <c r="G4" s="182" t="s">
        <v>83</v>
      </c>
      <c r="H4" s="182" t="s">
        <v>84</v>
      </c>
      <c r="I4" s="182" t="s">
        <v>537</v>
      </c>
      <c r="J4" s="138" t="s">
        <v>498</v>
      </c>
      <c r="K4" s="182" t="s">
        <v>502</v>
      </c>
      <c r="L4" s="182" t="s">
        <v>503</v>
      </c>
      <c r="M4" s="182" t="s">
        <v>505</v>
      </c>
      <c r="N4" s="182" t="s">
        <v>507</v>
      </c>
      <c r="O4" s="182" t="s">
        <v>509</v>
      </c>
      <c r="P4" s="182" t="s">
        <v>510</v>
      </c>
      <c r="Q4" s="182" t="s">
        <v>511</v>
      </c>
      <c r="R4" s="182" t="s">
        <v>512</v>
      </c>
      <c r="S4" s="182" t="s">
        <v>513</v>
      </c>
      <c r="T4" s="182" t="s">
        <v>514</v>
      </c>
      <c r="U4" s="182" t="s">
        <v>544</v>
      </c>
      <c r="V4" s="182" t="s">
        <v>520</v>
      </c>
      <c r="W4" s="182" t="s">
        <v>516</v>
      </c>
      <c r="X4" s="182" t="s">
        <v>517</v>
      </c>
      <c r="Y4" s="182" t="s">
        <v>545</v>
      </c>
      <c r="Z4" s="182" t="s">
        <v>85</v>
      </c>
      <c r="AA4" s="182" t="s">
        <v>519</v>
      </c>
      <c r="AB4" s="213" t="s">
        <v>86</v>
      </c>
      <c r="AC4" s="213" t="s">
        <v>87</v>
      </c>
      <c r="AD4" s="213" t="s">
        <v>88</v>
      </c>
      <c r="AE4" s="213" t="s">
        <v>89</v>
      </c>
      <c r="AF4" s="8"/>
      <c r="AG4" s="8"/>
      <c r="AH4" s="8"/>
    </row>
    <row r="5" spans="1:34" ht="15" customHeight="1" x14ac:dyDescent="0.25">
      <c r="A5" s="233" t="s">
        <v>279</v>
      </c>
      <c r="B5" s="64" t="s">
        <v>280</v>
      </c>
      <c r="C5" s="48">
        <v>1</v>
      </c>
      <c r="D5" s="48">
        <v>2</v>
      </c>
      <c r="E5" s="48">
        <v>3</v>
      </c>
      <c r="F5" s="48">
        <v>4</v>
      </c>
      <c r="G5" s="48">
        <v>5</v>
      </c>
      <c r="H5" s="48">
        <v>6</v>
      </c>
      <c r="I5" s="48">
        <v>7</v>
      </c>
      <c r="J5" s="48">
        <v>8</v>
      </c>
      <c r="K5" s="48">
        <v>9</v>
      </c>
      <c r="L5" s="48">
        <v>10</v>
      </c>
      <c r="M5" s="48">
        <v>11</v>
      </c>
      <c r="N5" s="48">
        <v>12</v>
      </c>
      <c r="O5" s="48">
        <v>13</v>
      </c>
      <c r="P5" s="48">
        <v>14</v>
      </c>
      <c r="Q5" s="48">
        <v>15</v>
      </c>
      <c r="R5" s="48">
        <v>16</v>
      </c>
      <c r="S5" s="48">
        <v>17</v>
      </c>
      <c r="T5" s="48">
        <v>18</v>
      </c>
      <c r="U5" s="48">
        <v>19</v>
      </c>
      <c r="V5" s="48">
        <v>20</v>
      </c>
      <c r="W5" s="48">
        <v>21</v>
      </c>
      <c r="X5" s="48">
        <v>22</v>
      </c>
      <c r="Y5" s="48">
        <v>23</v>
      </c>
      <c r="Z5" s="48">
        <v>24</v>
      </c>
      <c r="AA5" s="48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  <c r="AH5" s="15">
        <v>32</v>
      </c>
    </row>
    <row r="6" spans="1:34" ht="28.8" x14ac:dyDescent="0.25">
      <c r="A6" s="234"/>
      <c r="B6" s="20" t="s">
        <v>281</v>
      </c>
      <c r="C6" s="48" t="s">
        <v>490</v>
      </c>
      <c r="D6" s="48" t="s">
        <v>52</v>
      </c>
      <c r="E6" s="48" t="s">
        <v>475</v>
      </c>
      <c r="F6" s="204" t="s">
        <v>459</v>
      </c>
      <c r="G6" s="48" t="s">
        <v>53</v>
      </c>
      <c r="H6" s="48" t="s">
        <v>476</v>
      </c>
      <c r="I6" s="48" t="s">
        <v>541</v>
      </c>
      <c r="J6" s="204" t="s">
        <v>477</v>
      </c>
      <c r="K6" s="204" t="s">
        <v>478</v>
      </c>
      <c r="L6" s="48" t="s">
        <v>479</v>
      </c>
      <c r="M6" s="204" t="s">
        <v>480</v>
      </c>
      <c r="N6" s="202" t="s">
        <v>430</v>
      </c>
      <c r="O6" s="204" t="s">
        <v>481</v>
      </c>
      <c r="P6" s="202" t="s">
        <v>482</v>
      </c>
      <c r="Q6" s="202" t="s">
        <v>483</v>
      </c>
      <c r="R6" s="202" t="s">
        <v>484</v>
      </c>
      <c r="S6" s="202" t="s">
        <v>485</v>
      </c>
      <c r="T6" s="204" t="s">
        <v>486</v>
      </c>
      <c r="U6" s="202" t="s">
        <v>445</v>
      </c>
      <c r="V6" s="202" t="s">
        <v>487</v>
      </c>
      <c r="W6" s="211" t="s">
        <v>64</v>
      </c>
      <c r="X6" s="204" t="s">
        <v>65</v>
      </c>
      <c r="Y6" s="202" t="s">
        <v>488</v>
      </c>
      <c r="Z6" s="202" t="s">
        <v>452</v>
      </c>
      <c r="AA6" s="204" t="s">
        <v>489</v>
      </c>
      <c r="AB6" s="15" t="s">
        <v>69</v>
      </c>
      <c r="AC6" s="15" t="s">
        <v>70</v>
      </c>
      <c r="AD6" s="15" t="s">
        <v>71</v>
      </c>
      <c r="AE6" s="15" t="s">
        <v>72</v>
      </c>
      <c r="AF6" s="15" t="s">
        <v>76</v>
      </c>
      <c r="AG6" s="15" t="s">
        <v>77</v>
      </c>
      <c r="AH6" s="15" t="s">
        <v>78</v>
      </c>
    </row>
    <row r="7" spans="1:34" ht="14.4" x14ac:dyDescent="0.3">
      <c r="A7" s="234"/>
      <c r="B7" s="21" t="s">
        <v>282</v>
      </c>
      <c r="C7" s="7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10"/>
      <c r="W7" s="22"/>
      <c r="X7" s="22"/>
      <c r="Y7" s="22"/>
      <c r="Z7" s="22"/>
      <c r="AA7" s="23"/>
      <c r="AB7" s="7"/>
      <c r="AC7" s="7"/>
      <c r="AD7" s="7"/>
      <c r="AE7" s="7"/>
      <c r="AF7" s="7"/>
      <c r="AG7" s="7"/>
      <c r="AH7" s="7"/>
    </row>
    <row r="8" spans="1:34" ht="14.4" x14ac:dyDescent="0.3">
      <c r="A8" s="234"/>
      <c r="B8" s="21" t="s">
        <v>282</v>
      </c>
      <c r="C8" s="7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7"/>
      <c r="AC8" s="7"/>
      <c r="AD8" s="7"/>
      <c r="AE8" s="7"/>
      <c r="AF8" s="7"/>
      <c r="AG8" s="7"/>
      <c r="AH8" s="7"/>
    </row>
    <row r="9" spans="1:34" ht="14.4" x14ac:dyDescent="0.3">
      <c r="A9" s="234"/>
      <c r="B9" s="21" t="s">
        <v>282</v>
      </c>
      <c r="C9" s="7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  <c r="AB9" s="7"/>
      <c r="AC9" s="7"/>
      <c r="AD9" s="7"/>
      <c r="AE9" s="7"/>
      <c r="AF9" s="7"/>
      <c r="AG9" s="7"/>
      <c r="AH9" s="7"/>
    </row>
    <row r="10" spans="1:34" ht="14.4" x14ac:dyDescent="0.3">
      <c r="A10" s="234"/>
      <c r="B10" s="21" t="s">
        <v>282</v>
      </c>
      <c r="C10" s="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  <c r="AB10" s="7"/>
      <c r="AC10" s="7"/>
      <c r="AD10" s="7"/>
      <c r="AE10" s="7"/>
      <c r="AF10" s="7"/>
      <c r="AG10" s="7"/>
      <c r="AH10" s="7"/>
    </row>
    <row r="11" spans="1:34" ht="14.4" x14ac:dyDescent="0.3">
      <c r="A11" s="234"/>
      <c r="B11" s="21" t="s">
        <v>43</v>
      </c>
      <c r="C11" s="7"/>
      <c r="D11" s="22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7"/>
      <c r="AC11" s="7"/>
      <c r="AD11" s="7"/>
      <c r="AE11" s="7"/>
      <c r="AF11" s="7"/>
      <c r="AG11" s="7"/>
      <c r="AH11" s="7"/>
    </row>
    <row r="12" spans="1:34" ht="14.4" x14ac:dyDescent="0.3">
      <c r="A12" s="234"/>
      <c r="B12" s="26" t="s">
        <v>283</v>
      </c>
      <c r="C12" s="27" t="e">
        <f>MEDIAN(C7:C11)</f>
        <v>#NUM!</v>
      </c>
      <c r="D12" s="27" t="e">
        <f t="shared" ref="D12:AH12" si="0">MEDIAN(D7:D11)</f>
        <v>#NUM!</v>
      </c>
      <c r="E12" s="27" t="e">
        <f t="shared" si="0"/>
        <v>#NUM!</v>
      </c>
      <c r="F12" s="27" t="e">
        <f t="shared" si="0"/>
        <v>#NUM!</v>
      </c>
      <c r="G12" s="27" t="e">
        <f t="shared" si="0"/>
        <v>#NUM!</v>
      </c>
      <c r="H12" s="27" t="e">
        <f t="shared" si="0"/>
        <v>#NUM!</v>
      </c>
      <c r="I12" s="27" t="e">
        <f t="shared" si="0"/>
        <v>#NUM!</v>
      </c>
      <c r="J12" s="27" t="e">
        <f t="shared" si="0"/>
        <v>#NUM!</v>
      </c>
      <c r="K12" s="27" t="e">
        <f t="shared" si="0"/>
        <v>#NUM!</v>
      </c>
      <c r="L12" s="27" t="e">
        <f t="shared" si="0"/>
        <v>#NUM!</v>
      </c>
      <c r="M12" s="27" t="e">
        <f t="shared" si="0"/>
        <v>#NUM!</v>
      </c>
      <c r="N12" s="27" t="e">
        <f t="shared" si="0"/>
        <v>#NUM!</v>
      </c>
      <c r="O12" s="27" t="e">
        <f t="shared" si="0"/>
        <v>#NUM!</v>
      </c>
      <c r="P12" s="27" t="e">
        <f t="shared" si="0"/>
        <v>#NUM!</v>
      </c>
      <c r="Q12" s="27" t="e">
        <f t="shared" si="0"/>
        <v>#NUM!</v>
      </c>
      <c r="R12" s="27" t="e">
        <f t="shared" si="0"/>
        <v>#NUM!</v>
      </c>
      <c r="S12" s="27" t="e">
        <f t="shared" si="0"/>
        <v>#NUM!</v>
      </c>
      <c r="T12" s="27" t="e">
        <f t="shared" si="0"/>
        <v>#NUM!</v>
      </c>
      <c r="U12" s="27" t="e">
        <f t="shared" si="0"/>
        <v>#NUM!</v>
      </c>
      <c r="V12" s="27" t="e">
        <f t="shared" si="0"/>
        <v>#NUM!</v>
      </c>
      <c r="W12" s="27" t="e">
        <f t="shared" si="0"/>
        <v>#NUM!</v>
      </c>
      <c r="X12" s="27" t="e">
        <f t="shared" si="0"/>
        <v>#NUM!</v>
      </c>
      <c r="Y12" s="27" t="e">
        <f t="shared" si="0"/>
        <v>#NUM!</v>
      </c>
      <c r="Z12" s="27" t="e">
        <f t="shared" si="0"/>
        <v>#NUM!</v>
      </c>
      <c r="AA12" s="27" t="e">
        <f t="shared" si="0"/>
        <v>#NUM!</v>
      </c>
      <c r="AB12" s="27" t="e">
        <f t="shared" si="0"/>
        <v>#NUM!</v>
      </c>
      <c r="AC12" s="27" t="e">
        <f t="shared" si="0"/>
        <v>#NUM!</v>
      </c>
      <c r="AD12" s="27" t="e">
        <f t="shared" si="0"/>
        <v>#NUM!</v>
      </c>
      <c r="AE12" s="27" t="e">
        <f t="shared" si="0"/>
        <v>#NUM!</v>
      </c>
      <c r="AF12" s="27" t="e">
        <f t="shared" si="0"/>
        <v>#NUM!</v>
      </c>
      <c r="AG12" s="27" t="e">
        <f t="shared" si="0"/>
        <v>#NUM!</v>
      </c>
      <c r="AH12" s="27" t="e">
        <f t="shared" si="0"/>
        <v>#NUM!</v>
      </c>
    </row>
    <row r="13" spans="1:34" ht="15" customHeight="1" x14ac:dyDescent="0.25">
      <c r="A13" s="233" t="s">
        <v>284</v>
      </c>
      <c r="B13" s="64" t="s">
        <v>280</v>
      </c>
      <c r="C13" s="48">
        <v>1</v>
      </c>
      <c r="D13" s="48">
        <v>2</v>
      </c>
      <c r="E13" s="48">
        <v>3</v>
      </c>
      <c r="F13" s="48">
        <v>4</v>
      </c>
      <c r="G13" s="48">
        <v>5</v>
      </c>
      <c r="H13" s="48">
        <v>6</v>
      </c>
      <c r="I13" s="48">
        <v>7</v>
      </c>
      <c r="J13" s="48">
        <v>8</v>
      </c>
      <c r="K13" s="48">
        <v>9</v>
      </c>
      <c r="L13" s="48">
        <v>10</v>
      </c>
      <c r="M13" s="48">
        <v>11</v>
      </c>
      <c r="N13" s="48">
        <v>12</v>
      </c>
      <c r="O13" s="48">
        <v>13</v>
      </c>
      <c r="P13" s="48">
        <v>14</v>
      </c>
      <c r="Q13" s="48">
        <v>15</v>
      </c>
      <c r="R13" s="48">
        <v>16</v>
      </c>
      <c r="S13" s="48">
        <v>17</v>
      </c>
      <c r="T13" s="48">
        <v>18</v>
      </c>
      <c r="U13" s="48">
        <v>19</v>
      </c>
      <c r="V13" s="48">
        <v>20</v>
      </c>
      <c r="W13" s="48">
        <v>21</v>
      </c>
      <c r="X13" s="48">
        <v>22</v>
      </c>
      <c r="Y13" s="48">
        <v>23</v>
      </c>
      <c r="Z13" s="48">
        <v>24</v>
      </c>
      <c r="AA13" s="48">
        <v>25</v>
      </c>
      <c r="AB13" s="15">
        <v>26</v>
      </c>
      <c r="AC13" s="15">
        <v>27</v>
      </c>
      <c r="AD13" s="15">
        <v>28</v>
      </c>
      <c r="AE13" s="15">
        <v>29</v>
      </c>
      <c r="AF13" s="15">
        <v>30</v>
      </c>
      <c r="AG13" s="15">
        <v>31</v>
      </c>
      <c r="AH13" s="15">
        <v>32</v>
      </c>
    </row>
    <row r="14" spans="1:34" ht="28.8" x14ac:dyDescent="0.25">
      <c r="A14" s="234"/>
      <c r="B14" s="20" t="s">
        <v>281</v>
      </c>
      <c r="C14" s="48" t="s">
        <v>490</v>
      </c>
      <c r="D14" s="48" t="s">
        <v>52</v>
      </c>
      <c r="E14" s="48" t="s">
        <v>475</v>
      </c>
      <c r="F14" s="204" t="s">
        <v>459</v>
      </c>
      <c r="G14" s="48" t="s">
        <v>53</v>
      </c>
      <c r="H14" s="48" t="s">
        <v>476</v>
      </c>
      <c r="I14" s="48" t="s">
        <v>541</v>
      </c>
      <c r="J14" s="204" t="s">
        <v>477</v>
      </c>
      <c r="K14" s="204" t="s">
        <v>478</v>
      </c>
      <c r="L14" s="48" t="s">
        <v>479</v>
      </c>
      <c r="M14" s="204" t="s">
        <v>480</v>
      </c>
      <c r="N14" s="202" t="s">
        <v>430</v>
      </c>
      <c r="O14" s="204" t="s">
        <v>481</v>
      </c>
      <c r="P14" s="202" t="s">
        <v>482</v>
      </c>
      <c r="Q14" s="202" t="s">
        <v>483</v>
      </c>
      <c r="R14" s="202" t="s">
        <v>484</v>
      </c>
      <c r="S14" s="202" t="s">
        <v>485</v>
      </c>
      <c r="T14" s="204" t="s">
        <v>486</v>
      </c>
      <c r="U14" s="202" t="s">
        <v>445</v>
      </c>
      <c r="V14" s="202" t="s">
        <v>487</v>
      </c>
      <c r="W14" s="211" t="s">
        <v>64</v>
      </c>
      <c r="X14" s="204" t="s">
        <v>65</v>
      </c>
      <c r="Y14" s="202" t="s">
        <v>488</v>
      </c>
      <c r="Z14" s="202" t="s">
        <v>452</v>
      </c>
      <c r="AA14" s="204" t="s">
        <v>489</v>
      </c>
      <c r="AB14" s="15" t="s">
        <v>69</v>
      </c>
      <c r="AC14" s="15" t="s">
        <v>70</v>
      </c>
      <c r="AD14" s="15" t="s">
        <v>71</v>
      </c>
      <c r="AE14" s="15" t="s">
        <v>72</v>
      </c>
      <c r="AF14" s="15" t="s">
        <v>76</v>
      </c>
      <c r="AG14" s="15" t="s">
        <v>77</v>
      </c>
      <c r="AH14" s="15" t="s">
        <v>78</v>
      </c>
    </row>
    <row r="15" spans="1:34" ht="14.4" x14ac:dyDescent="0.3">
      <c r="A15" s="234"/>
      <c r="B15" s="21" t="s">
        <v>282</v>
      </c>
      <c r="C15" s="22"/>
      <c r="D15" s="2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  <c r="AB15" s="7"/>
      <c r="AC15" s="7"/>
      <c r="AD15" s="7"/>
      <c r="AE15" s="7"/>
      <c r="AF15" s="7"/>
      <c r="AG15" s="7"/>
      <c r="AH15" s="7"/>
    </row>
    <row r="16" spans="1:34" ht="14.4" x14ac:dyDescent="0.3">
      <c r="A16" s="234"/>
      <c r="B16" s="21" t="s">
        <v>282</v>
      </c>
      <c r="C16" s="22"/>
      <c r="D16" s="2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28"/>
      <c r="AB16" s="7"/>
      <c r="AC16" s="7"/>
      <c r="AD16" s="7"/>
      <c r="AE16" s="7"/>
      <c r="AF16" s="7"/>
      <c r="AG16" s="7"/>
      <c r="AH16" s="7"/>
    </row>
    <row r="17" spans="1:34" ht="14.4" x14ac:dyDescent="0.3">
      <c r="A17" s="234"/>
      <c r="B17" s="21" t="s">
        <v>282</v>
      </c>
      <c r="C17" s="22"/>
      <c r="D17" s="2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28"/>
      <c r="AB17" s="7"/>
      <c r="AC17" s="7"/>
      <c r="AD17" s="7"/>
      <c r="AE17" s="7"/>
      <c r="AF17" s="7"/>
      <c r="AG17" s="7"/>
      <c r="AH17" s="7"/>
    </row>
    <row r="18" spans="1:34" ht="14.4" x14ac:dyDescent="0.3">
      <c r="A18" s="234"/>
      <c r="B18" s="21" t="s">
        <v>282</v>
      </c>
      <c r="C18" s="22"/>
      <c r="D18" s="2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28"/>
      <c r="AB18" s="7"/>
      <c r="AC18" s="7"/>
      <c r="AD18" s="7"/>
      <c r="AE18" s="7"/>
      <c r="AF18" s="7"/>
      <c r="AG18" s="7"/>
      <c r="AH18" s="7"/>
    </row>
    <row r="19" spans="1:34" ht="14.4" x14ac:dyDescent="0.3">
      <c r="A19" s="234"/>
      <c r="B19" s="21" t="s">
        <v>43</v>
      </c>
      <c r="C19" s="22"/>
      <c r="D19" s="22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  <c r="AB19" s="7"/>
      <c r="AC19" s="7"/>
      <c r="AD19" s="7"/>
      <c r="AE19" s="7"/>
      <c r="AF19" s="7"/>
      <c r="AG19" s="7"/>
      <c r="AH19" s="7"/>
    </row>
    <row r="20" spans="1:34" ht="14.4" x14ac:dyDescent="0.3">
      <c r="A20" s="234"/>
      <c r="B20" s="31" t="s">
        <v>285</v>
      </c>
      <c r="C20" s="27" t="e">
        <f t="shared" ref="C20:AH20" si="1">MEDIAN(C15:C19)</f>
        <v>#NUM!</v>
      </c>
      <c r="D20" s="27" t="e">
        <f t="shared" si="1"/>
        <v>#NUM!</v>
      </c>
      <c r="E20" s="27" t="e">
        <f t="shared" si="1"/>
        <v>#NUM!</v>
      </c>
      <c r="F20" s="27" t="e">
        <f t="shared" si="1"/>
        <v>#NUM!</v>
      </c>
      <c r="G20" s="27" t="e">
        <f t="shared" si="1"/>
        <v>#NUM!</v>
      </c>
      <c r="H20" s="27" t="e">
        <f t="shared" si="1"/>
        <v>#NUM!</v>
      </c>
      <c r="I20" s="27" t="e">
        <f t="shared" si="1"/>
        <v>#NUM!</v>
      </c>
      <c r="J20" s="27" t="e">
        <f t="shared" si="1"/>
        <v>#NUM!</v>
      </c>
      <c r="K20" s="27" t="e">
        <f t="shared" si="1"/>
        <v>#NUM!</v>
      </c>
      <c r="L20" s="27" t="e">
        <f t="shared" si="1"/>
        <v>#NUM!</v>
      </c>
      <c r="M20" s="27" t="e">
        <f t="shared" si="1"/>
        <v>#NUM!</v>
      </c>
      <c r="N20" s="27" t="e">
        <f t="shared" si="1"/>
        <v>#NUM!</v>
      </c>
      <c r="O20" s="27" t="e">
        <f t="shared" si="1"/>
        <v>#NUM!</v>
      </c>
      <c r="P20" s="27" t="e">
        <f t="shared" si="1"/>
        <v>#NUM!</v>
      </c>
      <c r="Q20" s="27" t="e">
        <f t="shared" si="1"/>
        <v>#NUM!</v>
      </c>
      <c r="R20" s="27" t="e">
        <f t="shared" si="1"/>
        <v>#NUM!</v>
      </c>
      <c r="S20" s="27" t="e">
        <f t="shared" si="1"/>
        <v>#NUM!</v>
      </c>
      <c r="T20" s="27" t="e">
        <f t="shared" si="1"/>
        <v>#NUM!</v>
      </c>
      <c r="U20" s="27" t="e">
        <f t="shared" si="1"/>
        <v>#NUM!</v>
      </c>
      <c r="V20" s="27" t="e">
        <f t="shared" si="1"/>
        <v>#NUM!</v>
      </c>
      <c r="W20" s="27" t="e">
        <f t="shared" si="1"/>
        <v>#NUM!</v>
      </c>
      <c r="X20" s="27" t="e">
        <f t="shared" si="1"/>
        <v>#NUM!</v>
      </c>
      <c r="Y20" s="27" t="e">
        <f t="shared" si="1"/>
        <v>#NUM!</v>
      </c>
      <c r="Z20" s="27" t="e">
        <f t="shared" si="1"/>
        <v>#NUM!</v>
      </c>
      <c r="AA20" s="27" t="e">
        <f t="shared" si="1"/>
        <v>#NUM!</v>
      </c>
      <c r="AB20" s="27" t="e">
        <f t="shared" si="1"/>
        <v>#NUM!</v>
      </c>
      <c r="AC20" s="27" t="e">
        <f t="shared" si="1"/>
        <v>#NUM!</v>
      </c>
      <c r="AD20" s="27" t="e">
        <f t="shared" si="1"/>
        <v>#NUM!</v>
      </c>
      <c r="AE20" s="27" t="e">
        <f t="shared" si="1"/>
        <v>#NUM!</v>
      </c>
      <c r="AF20" s="27" t="e">
        <f t="shared" si="1"/>
        <v>#NUM!</v>
      </c>
      <c r="AG20" s="27" t="e">
        <f t="shared" si="1"/>
        <v>#NUM!</v>
      </c>
      <c r="AH20" s="27" t="e">
        <f t="shared" si="1"/>
        <v>#NUM!</v>
      </c>
    </row>
    <row r="21" spans="1:34" ht="15" customHeight="1" x14ac:dyDescent="0.25">
      <c r="A21" s="233" t="s">
        <v>550</v>
      </c>
      <c r="B21" s="64" t="s">
        <v>280</v>
      </c>
      <c r="C21" s="48">
        <v>1</v>
      </c>
      <c r="D21" s="48">
        <v>2</v>
      </c>
      <c r="E21" s="48">
        <v>3</v>
      </c>
      <c r="F21" s="48">
        <v>4</v>
      </c>
      <c r="G21" s="48">
        <v>5</v>
      </c>
      <c r="H21" s="48">
        <v>6</v>
      </c>
      <c r="I21" s="48">
        <v>7</v>
      </c>
      <c r="J21" s="48">
        <v>8</v>
      </c>
      <c r="K21" s="48">
        <v>9</v>
      </c>
      <c r="L21" s="48">
        <v>10</v>
      </c>
      <c r="M21" s="48">
        <v>11</v>
      </c>
      <c r="N21" s="48">
        <v>12</v>
      </c>
      <c r="O21" s="48">
        <v>13</v>
      </c>
      <c r="P21" s="48">
        <v>14</v>
      </c>
      <c r="Q21" s="48">
        <v>15</v>
      </c>
      <c r="R21" s="48">
        <v>16</v>
      </c>
      <c r="S21" s="48">
        <v>17</v>
      </c>
      <c r="T21" s="48">
        <v>18</v>
      </c>
      <c r="U21" s="48">
        <v>19</v>
      </c>
      <c r="V21" s="48">
        <v>20</v>
      </c>
      <c r="W21" s="48">
        <v>21</v>
      </c>
      <c r="X21" s="48">
        <v>22</v>
      </c>
      <c r="Y21" s="48">
        <v>23</v>
      </c>
      <c r="Z21" s="48">
        <v>24</v>
      </c>
      <c r="AA21" s="48">
        <v>25</v>
      </c>
      <c r="AB21" s="15">
        <v>26</v>
      </c>
      <c r="AC21" s="15">
        <v>27</v>
      </c>
      <c r="AD21" s="15">
        <v>28</v>
      </c>
      <c r="AE21" s="15">
        <v>29</v>
      </c>
      <c r="AF21" s="15">
        <v>30</v>
      </c>
      <c r="AG21" s="15">
        <v>31</v>
      </c>
      <c r="AH21" s="15">
        <v>32</v>
      </c>
    </row>
    <row r="22" spans="1:34" ht="28.8" x14ac:dyDescent="0.25">
      <c r="A22" s="234"/>
      <c r="B22" s="20" t="s">
        <v>281</v>
      </c>
      <c r="C22" s="48" t="s">
        <v>490</v>
      </c>
      <c r="D22" s="48" t="s">
        <v>52</v>
      </c>
      <c r="E22" s="48" t="s">
        <v>475</v>
      </c>
      <c r="F22" s="204" t="s">
        <v>459</v>
      </c>
      <c r="G22" s="48" t="s">
        <v>53</v>
      </c>
      <c r="H22" s="48" t="s">
        <v>476</v>
      </c>
      <c r="I22" s="48" t="s">
        <v>541</v>
      </c>
      <c r="J22" s="204" t="s">
        <v>477</v>
      </c>
      <c r="K22" s="204" t="s">
        <v>478</v>
      </c>
      <c r="L22" s="48" t="s">
        <v>479</v>
      </c>
      <c r="M22" s="204" t="s">
        <v>480</v>
      </c>
      <c r="N22" s="202" t="s">
        <v>430</v>
      </c>
      <c r="O22" s="204" t="s">
        <v>481</v>
      </c>
      <c r="P22" s="202" t="s">
        <v>482</v>
      </c>
      <c r="Q22" s="202" t="s">
        <v>483</v>
      </c>
      <c r="R22" s="202" t="s">
        <v>484</v>
      </c>
      <c r="S22" s="202" t="s">
        <v>485</v>
      </c>
      <c r="T22" s="204" t="s">
        <v>486</v>
      </c>
      <c r="U22" s="202" t="s">
        <v>445</v>
      </c>
      <c r="V22" s="202" t="s">
        <v>487</v>
      </c>
      <c r="W22" s="211" t="s">
        <v>64</v>
      </c>
      <c r="X22" s="204" t="s">
        <v>65</v>
      </c>
      <c r="Y22" s="202" t="s">
        <v>488</v>
      </c>
      <c r="Z22" s="202" t="s">
        <v>452</v>
      </c>
      <c r="AA22" s="204" t="s">
        <v>489</v>
      </c>
      <c r="AB22" s="15" t="s">
        <v>69</v>
      </c>
      <c r="AC22" s="15" t="s">
        <v>70</v>
      </c>
      <c r="AD22" s="15" t="s">
        <v>71</v>
      </c>
      <c r="AE22" s="15" t="s">
        <v>72</v>
      </c>
      <c r="AF22" s="15" t="s">
        <v>76</v>
      </c>
      <c r="AG22" s="15" t="s">
        <v>77</v>
      </c>
      <c r="AH22" s="15" t="s">
        <v>78</v>
      </c>
    </row>
    <row r="23" spans="1:34" ht="15.75" customHeight="1" x14ac:dyDescent="0.3">
      <c r="A23" s="234"/>
      <c r="B23" s="21" t="s">
        <v>282</v>
      </c>
      <c r="C23" s="22"/>
      <c r="D23" s="2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28"/>
      <c r="AB23" s="7"/>
      <c r="AC23" s="7"/>
      <c r="AD23" s="7"/>
      <c r="AE23" s="7"/>
      <c r="AF23" s="7"/>
      <c r="AG23" s="7"/>
      <c r="AH23" s="7"/>
    </row>
    <row r="24" spans="1:34" ht="15.75" customHeight="1" x14ac:dyDescent="0.3">
      <c r="A24" s="234"/>
      <c r="B24" s="21" t="s">
        <v>282</v>
      </c>
      <c r="C24" s="22"/>
      <c r="D24" s="2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28"/>
      <c r="AB24" s="7"/>
      <c r="AC24" s="7"/>
      <c r="AD24" s="7"/>
      <c r="AE24" s="7"/>
      <c r="AF24" s="7"/>
      <c r="AG24" s="7"/>
      <c r="AH24" s="7"/>
    </row>
    <row r="25" spans="1:34" ht="15.75" customHeight="1" x14ac:dyDescent="0.3">
      <c r="A25" s="234"/>
      <c r="B25" s="21" t="s">
        <v>282</v>
      </c>
      <c r="C25" s="22"/>
      <c r="D25" s="2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28"/>
      <c r="AB25" s="7"/>
      <c r="AC25" s="7"/>
      <c r="AD25" s="7"/>
      <c r="AE25" s="7"/>
      <c r="AF25" s="7"/>
      <c r="AG25" s="7"/>
      <c r="AH25" s="7"/>
    </row>
    <row r="26" spans="1:34" ht="15.75" customHeight="1" x14ac:dyDescent="0.3">
      <c r="A26" s="234"/>
      <c r="B26" s="21" t="s">
        <v>282</v>
      </c>
      <c r="C26" s="22"/>
      <c r="D26" s="2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28"/>
      <c r="AB26" s="7"/>
      <c r="AC26" s="7"/>
      <c r="AD26" s="7"/>
      <c r="AE26" s="7"/>
      <c r="AF26" s="7"/>
      <c r="AG26" s="7"/>
      <c r="AH26" s="7"/>
    </row>
    <row r="27" spans="1:34" ht="15.75" customHeight="1" x14ac:dyDescent="0.3">
      <c r="A27" s="234"/>
      <c r="B27" s="21" t="s">
        <v>43</v>
      </c>
      <c r="C27" s="22"/>
      <c r="D27" s="22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7"/>
      <c r="AC27" s="7"/>
      <c r="AD27" s="7"/>
      <c r="AE27" s="7"/>
      <c r="AF27" s="7"/>
      <c r="AG27" s="7"/>
      <c r="AH27" s="7"/>
    </row>
    <row r="28" spans="1:34" ht="15.75" customHeight="1" x14ac:dyDescent="0.3">
      <c r="A28" s="234"/>
      <c r="B28" s="31" t="s">
        <v>286</v>
      </c>
      <c r="C28" s="27" t="e">
        <f t="shared" ref="C28:AH28" si="2">MEDIAN(C23:C27)</f>
        <v>#NUM!</v>
      </c>
      <c r="D28" s="27" t="e">
        <f t="shared" si="2"/>
        <v>#NUM!</v>
      </c>
      <c r="E28" s="27" t="e">
        <f t="shared" si="2"/>
        <v>#NUM!</v>
      </c>
      <c r="F28" s="27" t="e">
        <f t="shared" si="2"/>
        <v>#NUM!</v>
      </c>
      <c r="G28" s="27" t="e">
        <f t="shared" si="2"/>
        <v>#NUM!</v>
      </c>
      <c r="H28" s="27" t="e">
        <f t="shared" si="2"/>
        <v>#NUM!</v>
      </c>
      <c r="I28" s="27" t="e">
        <f t="shared" si="2"/>
        <v>#NUM!</v>
      </c>
      <c r="J28" s="27" t="e">
        <f t="shared" si="2"/>
        <v>#NUM!</v>
      </c>
      <c r="K28" s="27" t="e">
        <f t="shared" si="2"/>
        <v>#NUM!</v>
      </c>
      <c r="L28" s="27" t="e">
        <f t="shared" si="2"/>
        <v>#NUM!</v>
      </c>
      <c r="M28" s="27" t="e">
        <f t="shared" si="2"/>
        <v>#NUM!</v>
      </c>
      <c r="N28" s="27" t="e">
        <f t="shared" si="2"/>
        <v>#NUM!</v>
      </c>
      <c r="O28" s="27" t="e">
        <f t="shared" si="2"/>
        <v>#NUM!</v>
      </c>
      <c r="P28" s="27" t="e">
        <f t="shared" si="2"/>
        <v>#NUM!</v>
      </c>
      <c r="Q28" s="27" t="e">
        <f t="shared" si="2"/>
        <v>#NUM!</v>
      </c>
      <c r="R28" s="27" t="e">
        <f t="shared" si="2"/>
        <v>#NUM!</v>
      </c>
      <c r="S28" s="27" t="e">
        <f t="shared" si="2"/>
        <v>#NUM!</v>
      </c>
      <c r="T28" s="27" t="e">
        <f t="shared" si="2"/>
        <v>#NUM!</v>
      </c>
      <c r="U28" s="27" t="e">
        <f t="shared" si="2"/>
        <v>#NUM!</v>
      </c>
      <c r="V28" s="27" t="e">
        <f t="shared" si="2"/>
        <v>#NUM!</v>
      </c>
      <c r="W28" s="27" t="e">
        <f t="shared" si="2"/>
        <v>#NUM!</v>
      </c>
      <c r="X28" s="27" t="e">
        <f t="shared" si="2"/>
        <v>#NUM!</v>
      </c>
      <c r="Y28" s="27" t="e">
        <f t="shared" si="2"/>
        <v>#NUM!</v>
      </c>
      <c r="Z28" s="27" t="e">
        <f t="shared" si="2"/>
        <v>#NUM!</v>
      </c>
      <c r="AA28" s="27" t="e">
        <f t="shared" si="2"/>
        <v>#NUM!</v>
      </c>
      <c r="AB28" s="27" t="e">
        <f t="shared" si="2"/>
        <v>#NUM!</v>
      </c>
      <c r="AC28" s="27" t="e">
        <f t="shared" si="2"/>
        <v>#NUM!</v>
      </c>
      <c r="AD28" s="27" t="e">
        <f t="shared" si="2"/>
        <v>#NUM!</v>
      </c>
      <c r="AE28" s="27" t="e">
        <f t="shared" si="2"/>
        <v>#NUM!</v>
      </c>
      <c r="AF28" s="27" t="e">
        <f t="shared" si="2"/>
        <v>#NUM!</v>
      </c>
      <c r="AG28" s="27" t="e">
        <f t="shared" si="2"/>
        <v>#NUM!</v>
      </c>
      <c r="AH28" s="27" t="e">
        <f t="shared" si="2"/>
        <v>#NUM!</v>
      </c>
    </row>
    <row r="29" spans="1:34" ht="15" customHeight="1" x14ac:dyDescent="0.25">
      <c r="A29" s="233" t="s">
        <v>287</v>
      </c>
      <c r="B29" s="64" t="s">
        <v>280</v>
      </c>
      <c r="C29" s="48">
        <v>1</v>
      </c>
      <c r="D29" s="48">
        <v>2</v>
      </c>
      <c r="E29" s="48">
        <v>3</v>
      </c>
      <c r="F29" s="48">
        <v>4</v>
      </c>
      <c r="G29" s="48">
        <v>5</v>
      </c>
      <c r="H29" s="48">
        <v>6</v>
      </c>
      <c r="I29" s="48">
        <v>7</v>
      </c>
      <c r="J29" s="48">
        <v>8</v>
      </c>
      <c r="K29" s="48">
        <v>9</v>
      </c>
      <c r="L29" s="48">
        <v>10</v>
      </c>
      <c r="M29" s="48">
        <v>11</v>
      </c>
      <c r="N29" s="48">
        <v>12</v>
      </c>
      <c r="O29" s="48">
        <v>13</v>
      </c>
      <c r="P29" s="48">
        <v>14</v>
      </c>
      <c r="Q29" s="48">
        <v>15</v>
      </c>
      <c r="R29" s="48">
        <v>16</v>
      </c>
      <c r="S29" s="48">
        <v>17</v>
      </c>
      <c r="T29" s="48">
        <v>18</v>
      </c>
      <c r="U29" s="48">
        <v>19</v>
      </c>
      <c r="V29" s="48">
        <v>20</v>
      </c>
      <c r="W29" s="48">
        <v>21</v>
      </c>
      <c r="X29" s="48">
        <v>22</v>
      </c>
      <c r="Y29" s="48">
        <v>23</v>
      </c>
      <c r="Z29" s="48">
        <v>24</v>
      </c>
      <c r="AA29" s="48">
        <v>25</v>
      </c>
      <c r="AB29" s="15">
        <v>26</v>
      </c>
      <c r="AC29" s="15">
        <v>27</v>
      </c>
      <c r="AD29" s="15">
        <v>28</v>
      </c>
      <c r="AE29" s="15">
        <v>29</v>
      </c>
      <c r="AF29" s="15">
        <v>30</v>
      </c>
      <c r="AG29" s="15">
        <v>31</v>
      </c>
      <c r="AH29" s="15">
        <v>32</v>
      </c>
    </row>
    <row r="30" spans="1:34" ht="28.8" x14ac:dyDescent="0.25">
      <c r="A30" s="234"/>
      <c r="B30" s="20" t="s">
        <v>281</v>
      </c>
      <c r="C30" s="48" t="s">
        <v>490</v>
      </c>
      <c r="D30" s="48" t="s">
        <v>52</v>
      </c>
      <c r="E30" s="48" t="s">
        <v>475</v>
      </c>
      <c r="F30" s="204" t="s">
        <v>459</v>
      </c>
      <c r="G30" s="48" t="s">
        <v>53</v>
      </c>
      <c r="H30" s="48" t="s">
        <v>476</v>
      </c>
      <c r="I30" s="48" t="s">
        <v>541</v>
      </c>
      <c r="J30" s="204" t="s">
        <v>477</v>
      </c>
      <c r="K30" s="204" t="s">
        <v>478</v>
      </c>
      <c r="L30" s="48" t="s">
        <v>479</v>
      </c>
      <c r="M30" s="204" t="s">
        <v>480</v>
      </c>
      <c r="N30" s="202" t="s">
        <v>430</v>
      </c>
      <c r="O30" s="204" t="s">
        <v>481</v>
      </c>
      <c r="P30" s="202" t="s">
        <v>482</v>
      </c>
      <c r="Q30" s="202" t="s">
        <v>483</v>
      </c>
      <c r="R30" s="202" t="s">
        <v>484</v>
      </c>
      <c r="S30" s="202" t="s">
        <v>485</v>
      </c>
      <c r="T30" s="204" t="s">
        <v>486</v>
      </c>
      <c r="U30" s="202" t="s">
        <v>445</v>
      </c>
      <c r="V30" s="202" t="s">
        <v>487</v>
      </c>
      <c r="W30" s="211" t="s">
        <v>64</v>
      </c>
      <c r="X30" s="204" t="s">
        <v>65</v>
      </c>
      <c r="Y30" s="202" t="s">
        <v>488</v>
      </c>
      <c r="Z30" s="202" t="s">
        <v>452</v>
      </c>
      <c r="AA30" s="204" t="s">
        <v>489</v>
      </c>
      <c r="AB30" s="15" t="s">
        <v>69</v>
      </c>
      <c r="AC30" s="15" t="s">
        <v>70</v>
      </c>
      <c r="AD30" s="15" t="s">
        <v>71</v>
      </c>
      <c r="AE30" s="15" t="s">
        <v>72</v>
      </c>
      <c r="AF30" s="15" t="s">
        <v>76</v>
      </c>
      <c r="AG30" s="15" t="s">
        <v>77</v>
      </c>
      <c r="AH30" s="15" t="s">
        <v>78</v>
      </c>
    </row>
    <row r="31" spans="1:34" ht="15.75" customHeight="1" x14ac:dyDescent="0.3">
      <c r="A31" s="234"/>
      <c r="B31" s="21" t="s">
        <v>282</v>
      </c>
      <c r="C31" s="22"/>
      <c r="D31" s="2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28"/>
      <c r="AB31" s="7"/>
      <c r="AC31" s="7"/>
      <c r="AD31" s="7"/>
      <c r="AE31" s="7"/>
      <c r="AF31" s="7"/>
      <c r="AG31" s="7"/>
      <c r="AH31" s="7"/>
    </row>
    <row r="32" spans="1:34" ht="15.75" customHeight="1" x14ac:dyDescent="0.3">
      <c r="A32" s="234"/>
      <c r="B32" s="21" t="s">
        <v>282</v>
      </c>
      <c r="C32" s="22"/>
      <c r="D32" s="2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28"/>
      <c r="AB32" s="7"/>
      <c r="AC32" s="7"/>
      <c r="AD32" s="7"/>
      <c r="AE32" s="7"/>
      <c r="AF32" s="7"/>
      <c r="AG32" s="7"/>
      <c r="AH32" s="7"/>
    </row>
    <row r="33" spans="1:34" ht="15.75" customHeight="1" x14ac:dyDescent="0.3">
      <c r="A33" s="234"/>
      <c r="B33" s="21" t="s">
        <v>282</v>
      </c>
      <c r="C33" s="22"/>
      <c r="D33" s="2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28"/>
      <c r="AB33" s="7"/>
      <c r="AC33" s="7"/>
      <c r="AD33" s="7"/>
      <c r="AE33" s="7"/>
      <c r="AF33" s="7"/>
      <c r="AG33" s="7"/>
      <c r="AH33" s="7"/>
    </row>
    <row r="34" spans="1:34" ht="15.75" customHeight="1" x14ac:dyDescent="0.3">
      <c r="A34" s="234"/>
      <c r="B34" s="21" t="s">
        <v>282</v>
      </c>
      <c r="C34" s="22"/>
      <c r="D34" s="2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28"/>
      <c r="AB34" s="7"/>
      <c r="AC34" s="7"/>
      <c r="AD34" s="7"/>
      <c r="AE34" s="7"/>
      <c r="AF34" s="7"/>
      <c r="AG34" s="7"/>
      <c r="AH34" s="7"/>
    </row>
    <row r="35" spans="1:34" ht="15.75" customHeight="1" x14ac:dyDescent="0.3">
      <c r="A35" s="234"/>
      <c r="B35" s="21" t="s">
        <v>43</v>
      </c>
      <c r="C35" s="22"/>
      <c r="D35" s="22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  <c r="AB35" s="7"/>
      <c r="AC35" s="7"/>
      <c r="AD35" s="7"/>
      <c r="AE35" s="7"/>
      <c r="AF35" s="7"/>
      <c r="AG35" s="7"/>
      <c r="AH35" s="7"/>
    </row>
    <row r="36" spans="1:34" ht="15.75" customHeight="1" x14ac:dyDescent="0.3">
      <c r="A36" s="234"/>
      <c r="B36" s="31" t="s">
        <v>288</v>
      </c>
      <c r="C36" s="27" t="e">
        <f t="shared" ref="C36:AH36" si="3">MEDIAN(C31:C35)</f>
        <v>#NUM!</v>
      </c>
      <c r="D36" s="27" t="e">
        <f t="shared" si="3"/>
        <v>#NUM!</v>
      </c>
      <c r="E36" s="27" t="e">
        <f t="shared" si="3"/>
        <v>#NUM!</v>
      </c>
      <c r="F36" s="27" t="e">
        <f t="shared" si="3"/>
        <v>#NUM!</v>
      </c>
      <c r="G36" s="27" t="e">
        <f t="shared" si="3"/>
        <v>#NUM!</v>
      </c>
      <c r="H36" s="27" t="e">
        <f t="shared" si="3"/>
        <v>#NUM!</v>
      </c>
      <c r="I36" s="27" t="e">
        <f t="shared" si="3"/>
        <v>#NUM!</v>
      </c>
      <c r="J36" s="27" t="e">
        <f t="shared" si="3"/>
        <v>#NUM!</v>
      </c>
      <c r="K36" s="27" t="e">
        <f t="shared" si="3"/>
        <v>#NUM!</v>
      </c>
      <c r="L36" s="27" t="e">
        <f t="shared" si="3"/>
        <v>#NUM!</v>
      </c>
      <c r="M36" s="27" t="e">
        <f t="shared" si="3"/>
        <v>#NUM!</v>
      </c>
      <c r="N36" s="27" t="e">
        <f t="shared" si="3"/>
        <v>#NUM!</v>
      </c>
      <c r="O36" s="27" t="e">
        <f t="shared" si="3"/>
        <v>#NUM!</v>
      </c>
      <c r="P36" s="27" t="e">
        <f t="shared" si="3"/>
        <v>#NUM!</v>
      </c>
      <c r="Q36" s="27" t="e">
        <f t="shared" si="3"/>
        <v>#NUM!</v>
      </c>
      <c r="R36" s="27" t="e">
        <f t="shared" si="3"/>
        <v>#NUM!</v>
      </c>
      <c r="S36" s="27" t="e">
        <f t="shared" si="3"/>
        <v>#NUM!</v>
      </c>
      <c r="T36" s="27" t="e">
        <f t="shared" si="3"/>
        <v>#NUM!</v>
      </c>
      <c r="U36" s="27" t="e">
        <f t="shared" si="3"/>
        <v>#NUM!</v>
      </c>
      <c r="V36" s="27" t="e">
        <f t="shared" si="3"/>
        <v>#NUM!</v>
      </c>
      <c r="W36" s="27" t="e">
        <f t="shared" si="3"/>
        <v>#NUM!</v>
      </c>
      <c r="X36" s="27" t="e">
        <f t="shared" si="3"/>
        <v>#NUM!</v>
      </c>
      <c r="Y36" s="27" t="e">
        <f t="shared" si="3"/>
        <v>#NUM!</v>
      </c>
      <c r="Z36" s="27" t="e">
        <f t="shared" si="3"/>
        <v>#NUM!</v>
      </c>
      <c r="AA36" s="27" t="e">
        <f t="shared" si="3"/>
        <v>#NUM!</v>
      </c>
      <c r="AB36" s="27" t="e">
        <f t="shared" si="3"/>
        <v>#NUM!</v>
      </c>
      <c r="AC36" s="27" t="e">
        <f t="shared" si="3"/>
        <v>#NUM!</v>
      </c>
      <c r="AD36" s="27" t="e">
        <f t="shared" si="3"/>
        <v>#NUM!</v>
      </c>
      <c r="AE36" s="27" t="e">
        <f t="shared" si="3"/>
        <v>#NUM!</v>
      </c>
      <c r="AF36" s="27" t="e">
        <f t="shared" si="3"/>
        <v>#NUM!</v>
      </c>
      <c r="AG36" s="27" t="e">
        <f t="shared" si="3"/>
        <v>#NUM!</v>
      </c>
      <c r="AH36" s="27" t="e">
        <f t="shared" si="3"/>
        <v>#NUM!</v>
      </c>
    </row>
    <row r="37" spans="1:34" ht="15" customHeight="1" x14ac:dyDescent="0.25">
      <c r="A37" s="233" t="s">
        <v>552</v>
      </c>
      <c r="B37" s="64" t="s">
        <v>280</v>
      </c>
      <c r="C37" s="48">
        <v>1</v>
      </c>
      <c r="D37" s="48">
        <v>2</v>
      </c>
      <c r="E37" s="48">
        <v>3</v>
      </c>
      <c r="F37" s="48">
        <v>4</v>
      </c>
      <c r="G37" s="48">
        <v>5</v>
      </c>
      <c r="H37" s="48">
        <v>6</v>
      </c>
      <c r="I37" s="48">
        <v>7</v>
      </c>
      <c r="J37" s="48">
        <v>8</v>
      </c>
      <c r="K37" s="48">
        <v>9</v>
      </c>
      <c r="L37" s="48">
        <v>10</v>
      </c>
      <c r="M37" s="48">
        <v>11</v>
      </c>
      <c r="N37" s="48">
        <v>12</v>
      </c>
      <c r="O37" s="48">
        <v>13</v>
      </c>
      <c r="P37" s="48">
        <v>14</v>
      </c>
      <c r="Q37" s="48">
        <v>15</v>
      </c>
      <c r="R37" s="48">
        <v>16</v>
      </c>
      <c r="S37" s="48">
        <v>17</v>
      </c>
      <c r="T37" s="48">
        <v>18</v>
      </c>
      <c r="U37" s="48">
        <v>19</v>
      </c>
      <c r="V37" s="48">
        <v>20</v>
      </c>
      <c r="W37" s="48">
        <v>21</v>
      </c>
      <c r="X37" s="48">
        <v>22</v>
      </c>
      <c r="Y37" s="48">
        <v>23</v>
      </c>
      <c r="Z37" s="48">
        <v>24</v>
      </c>
      <c r="AA37" s="48">
        <v>25</v>
      </c>
      <c r="AB37" s="15">
        <v>26</v>
      </c>
      <c r="AC37" s="15">
        <v>27</v>
      </c>
      <c r="AD37" s="15">
        <v>28</v>
      </c>
      <c r="AE37" s="15">
        <v>29</v>
      </c>
      <c r="AF37" s="15">
        <v>30</v>
      </c>
      <c r="AG37" s="15">
        <v>31</v>
      </c>
      <c r="AH37" s="15">
        <v>32</v>
      </c>
    </row>
    <row r="38" spans="1:34" ht="36" customHeight="1" x14ac:dyDescent="0.25">
      <c r="A38" s="234"/>
      <c r="B38" s="20" t="s">
        <v>281</v>
      </c>
      <c r="C38" s="48" t="s">
        <v>490</v>
      </c>
      <c r="D38" s="48" t="s">
        <v>52</v>
      </c>
      <c r="E38" s="48" t="s">
        <v>475</v>
      </c>
      <c r="F38" s="204" t="s">
        <v>459</v>
      </c>
      <c r="G38" s="48" t="s">
        <v>53</v>
      </c>
      <c r="H38" s="48" t="s">
        <v>476</v>
      </c>
      <c r="I38" s="48" t="s">
        <v>541</v>
      </c>
      <c r="J38" s="204" t="s">
        <v>477</v>
      </c>
      <c r="K38" s="204" t="s">
        <v>478</v>
      </c>
      <c r="L38" s="48" t="s">
        <v>479</v>
      </c>
      <c r="M38" s="204" t="s">
        <v>480</v>
      </c>
      <c r="N38" s="202" t="s">
        <v>430</v>
      </c>
      <c r="O38" s="204" t="s">
        <v>481</v>
      </c>
      <c r="P38" s="202" t="s">
        <v>482</v>
      </c>
      <c r="Q38" s="202" t="s">
        <v>483</v>
      </c>
      <c r="R38" s="202" t="s">
        <v>484</v>
      </c>
      <c r="S38" s="202" t="s">
        <v>485</v>
      </c>
      <c r="T38" s="204" t="s">
        <v>486</v>
      </c>
      <c r="U38" s="202" t="s">
        <v>445</v>
      </c>
      <c r="V38" s="202" t="s">
        <v>487</v>
      </c>
      <c r="W38" s="211" t="s">
        <v>64</v>
      </c>
      <c r="X38" s="204" t="s">
        <v>65</v>
      </c>
      <c r="Y38" s="202" t="s">
        <v>488</v>
      </c>
      <c r="Z38" s="202" t="s">
        <v>452</v>
      </c>
      <c r="AA38" s="204" t="s">
        <v>489</v>
      </c>
      <c r="AB38" s="15" t="s">
        <v>69</v>
      </c>
      <c r="AC38" s="15" t="s">
        <v>70</v>
      </c>
      <c r="AD38" s="15" t="s">
        <v>71</v>
      </c>
      <c r="AE38" s="15" t="s">
        <v>72</v>
      </c>
      <c r="AF38" s="15" t="s">
        <v>76</v>
      </c>
      <c r="AG38" s="15" t="s">
        <v>77</v>
      </c>
      <c r="AH38" s="15" t="s">
        <v>78</v>
      </c>
    </row>
    <row r="39" spans="1:34" ht="15.75" customHeight="1" x14ac:dyDescent="0.3">
      <c r="A39" s="234"/>
      <c r="B39" s="21" t="s">
        <v>282</v>
      </c>
      <c r="C39" s="22"/>
      <c r="D39" s="2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28"/>
      <c r="AB39" s="7"/>
      <c r="AC39" s="7"/>
      <c r="AD39" s="7"/>
      <c r="AE39" s="7"/>
      <c r="AF39" s="7"/>
      <c r="AG39" s="7"/>
      <c r="AH39" s="7"/>
    </row>
    <row r="40" spans="1:34" ht="15.75" customHeight="1" x14ac:dyDescent="0.3">
      <c r="A40" s="234"/>
      <c r="B40" s="21" t="s">
        <v>282</v>
      </c>
      <c r="C40" s="22"/>
      <c r="D40" s="2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28"/>
      <c r="AB40" s="7"/>
      <c r="AC40" s="7"/>
      <c r="AD40" s="7"/>
      <c r="AE40" s="7"/>
      <c r="AF40" s="7"/>
      <c r="AG40" s="7"/>
      <c r="AH40" s="7"/>
    </row>
    <row r="41" spans="1:34" ht="15.75" customHeight="1" x14ac:dyDescent="0.3">
      <c r="A41" s="234"/>
      <c r="B41" s="21" t="s">
        <v>282</v>
      </c>
      <c r="C41" s="22"/>
      <c r="D41" s="2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28"/>
      <c r="AB41" s="7"/>
      <c r="AC41" s="7"/>
      <c r="AD41" s="7"/>
      <c r="AE41" s="7"/>
      <c r="AF41" s="7"/>
      <c r="AG41" s="7"/>
      <c r="AH41" s="7"/>
    </row>
    <row r="42" spans="1:34" ht="15.75" customHeight="1" x14ac:dyDescent="0.3">
      <c r="A42" s="234"/>
      <c r="B42" s="21" t="s">
        <v>282</v>
      </c>
      <c r="C42" s="22"/>
      <c r="D42" s="2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28"/>
      <c r="AB42" s="7"/>
      <c r="AC42" s="7"/>
      <c r="AD42" s="7"/>
      <c r="AE42" s="7"/>
      <c r="AF42" s="7"/>
      <c r="AG42" s="7"/>
      <c r="AH42" s="7"/>
    </row>
    <row r="43" spans="1:34" ht="15.75" customHeight="1" x14ac:dyDescent="0.3">
      <c r="A43" s="234"/>
      <c r="B43" s="21" t="s">
        <v>43</v>
      </c>
      <c r="C43" s="22"/>
      <c r="D43" s="22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30"/>
      <c r="AB43" s="7"/>
      <c r="AC43" s="7"/>
      <c r="AD43" s="7"/>
      <c r="AE43" s="7"/>
      <c r="AF43" s="7"/>
      <c r="AG43" s="7"/>
      <c r="AH43" s="7"/>
    </row>
    <row r="44" spans="1:34" ht="15.75" customHeight="1" x14ac:dyDescent="0.3">
      <c r="A44" s="234"/>
      <c r="B44" s="31" t="s">
        <v>289</v>
      </c>
      <c r="C44" s="27" t="e">
        <f t="shared" ref="C44:AH44" si="4">MEDIAN(C39:C43)</f>
        <v>#NUM!</v>
      </c>
      <c r="D44" s="27" t="e">
        <f t="shared" si="4"/>
        <v>#NUM!</v>
      </c>
      <c r="E44" s="27" t="e">
        <f t="shared" si="4"/>
        <v>#NUM!</v>
      </c>
      <c r="F44" s="27" t="e">
        <f t="shared" si="4"/>
        <v>#NUM!</v>
      </c>
      <c r="G44" s="27" t="e">
        <f t="shared" si="4"/>
        <v>#NUM!</v>
      </c>
      <c r="H44" s="27" t="e">
        <f t="shared" si="4"/>
        <v>#NUM!</v>
      </c>
      <c r="I44" s="27" t="e">
        <f t="shared" si="4"/>
        <v>#NUM!</v>
      </c>
      <c r="J44" s="27" t="e">
        <f t="shared" si="4"/>
        <v>#NUM!</v>
      </c>
      <c r="K44" s="27" t="e">
        <f t="shared" si="4"/>
        <v>#NUM!</v>
      </c>
      <c r="L44" s="27" t="e">
        <f t="shared" si="4"/>
        <v>#NUM!</v>
      </c>
      <c r="M44" s="27" t="e">
        <f t="shared" si="4"/>
        <v>#NUM!</v>
      </c>
      <c r="N44" s="27" t="e">
        <f t="shared" si="4"/>
        <v>#NUM!</v>
      </c>
      <c r="O44" s="27" t="e">
        <f t="shared" si="4"/>
        <v>#NUM!</v>
      </c>
      <c r="P44" s="27" t="e">
        <f t="shared" si="4"/>
        <v>#NUM!</v>
      </c>
      <c r="Q44" s="27" t="e">
        <f t="shared" si="4"/>
        <v>#NUM!</v>
      </c>
      <c r="R44" s="27" t="e">
        <f t="shared" si="4"/>
        <v>#NUM!</v>
      </c>
      <c r="S44" s="27" t="e">
        <f t="shared" si="4"/>
        <v>#NUM!</v>
      </c>
      <c r="T44" s="27" t="e">
        <f t="shared" si="4"/>
        <v>#NUM!</v>
      </c>
      <c r="U44" s="27" t="e">
        <f t="shared" si="4"/>
        <v>#NUM!</v>
      </c>
      <c r="V44" s="27" t="e">
        <f t="shared" si="4"/>
        <v>#NUM!</v>
      </c>
      <c r="W44" s="27" t="e">
        <f t="shared" si="4"/>
        <v>#NUM!</v>
      </c>
      <c r="X44" s="27" t="e">
        <f t="shared" si="4"/>
        <v>#NUM!</v>
      </c>
      <c r="Y44" s="27" t="e">
        <f t="shared" si="4"/>
        <v>#NUM!</v>
      </c>
      <c r="Z44" s="27" t="e">
        <f t="shared" si="4"/>
        <v>#NUM!</v>
      </c>
      <c r="AA44" s="27" t="e">
        <f t="shared" si="4"/>
        <v>#NUM!</v>
      </c>
      <c r="AB44" s="27" t="e">
        <f t="shared" si="4"/>
        <v>#NUM!</v>
      </c>
      <c r="AC44" s="27" t="e">
        <f t="shared" si="4"/>
        <v>#NUM!</v>
      </c>
      <c r="AD44" s="27" t="e">
        <f t="shared" si="4"/>
        <v>#NUM!</v>
      </c>
      <c r="AE44" s="27" t="e">
        <f t="shared" si="4"/>
        <v>#NUM!</v>
      </c>
      <c r="AF44" s="27" t="e">
        <f t="shared" si="4"/>
        <v>#NUM!</v>
      </c>
      <c r="AG44" s="27" t="e">
        <f t="shared" si="4"/>
        <v>#NUM!</v>
      </c>
      <c r="AH44" s="27" t="e">
        <f t="shared" si="4"/>
        <v>#NUM!</v>
      </c>
    </row>
    <row r="45" spans="1:34" ht="15" customHeight="1" x14ac:dyDescent="0.25">
      <c r="A45" s="235" t="s">
        <v>290</v>
      </c>
      <c r="B45" s="64" t="s">
        <v>280</v>
      </c>
      <c r="C45" s="48">
        <v>1</v>
      </c>
      <c r="D45" s="48">
        <v>2</v>
      </c>
      <c r="E45" s="48">
        <v>3</v>
      </c>
      <c r="F45" s="48">
        <v>4</v>
      </c>
      <c r="G45" s="48">
        <v>5</v>
      </c>
      <c r="H45" s="48">
        <v>6</v>
      </c>
      <c r="I45" s="48">
        <v>7</v>
      </c>
      <c r="J45" s="48">
        <v>8</v>
      </c>
      <c r="K45" s="48">
        <v>9</v>
      </c>
      <c r="L45" s="48">
        <v>10</v>
      </c>
      <c r="M45" s="48">
        <v>11</v>
      </c>
      <c r="N45" s="48">
        <v>12</v>
      </c>
      <c r="O45" s="48">
        <v>13</v>
      </c>
      <c r="P45" s="48">
        <v>14</v>
      </c>
      <c r="Q45" s="48">
        <v>15</v>
      </c>
      <c r="R45" s="48">
        <v>16</v>
      </c>
      <c r="S45" s="48">
        <v>17</v>
      </c>
      <c r="T45" s="48">
        <v>18</v>
      </c>
      <c r="U45" s="48">
        <v>19</v>
      </c>
      <c r="V45" s="48">
        <v>20</v>
      </c>
      <c r="W45" s="48">
        <v>21</v>
      </c>
      <c r="X45" s="48">
        <v>22</v>
      </c>
      <c r="Y45" s="48">
        <v>23</v>
      </c>
      <c r="Z45" s="48">
        <v>24</v>
      </c>
      <c r="AA45" s="48">
        <v>25</v>
      </c>
      <c r="AB45" s="15">
        <v>26</v>
      </c>
      <c r="AC45" s="15">
        <v>27</v>
      </c>
      <c r="AD45" s="15">
        <v>28</v>
      </c>
      <c r="AE45" s="15">
        <v>29</v>
      </c>
      <c r="AF45" s="15">
        <v>30</v>
      </c>
      <c r="AG45" s="15">
        <v>31</v>
      </c>
      <c r="AH45" s="15">
        <v>32</v>
      </c>
    </row>
    <row r="46" spans="1:34" ht="28.8" x14ac:dyDescent="0.25">
      <c r="A46" s="234"/>
      <c r="B46" s="20" t="s">
        <v>281</v>
      </c>
      <c r="C46" s="48" t="s">
        <v>490</v>
      </c>
      <c r="D46" s="48" t="s">
        <v>52</v>
      </c>
      <c r="E46" s="48" t="s">
        <v>475</v>
      </c>
      <c r="F46" s="204" t="s">
        <v>459</v>
      </c>
      <c r="G46" s="48" t="s">
        <v>53</v>
      </c>
      <c r="H46" s="48" t="s">
        <v>476</v>
      </c>
      <c r="I46" s="48" t="s">
        <v>541</v>
      </c>
      <c r="J46" s="204" t="s">
        <v>477</v>
      </c>
      <c r="K46" s="204" t="s">
        <v>478</v>
      </c>
      <c r="L46" s="48" t="s">
        <v>479</v>
      </c>
      <c r="M46" s="204" t="s">
        <v>480</v>
      </c>
      <c r="N46" s="202" t="s">
        <v>430</v>
      </c>
      <c r="O46" s="204" t="s">
        <v>481</v>
      </c>
      <c r="P46" s="202" t="s">
        <v>482</v>
      </c>
      <c r="Q46" s="202" t="s">
        <v>483</v>
      </c>
      <c r="R46" s="202" t="s">
        <v>484</v>
      </c>
      <c r="S46" s="202" t="s">
        <v>485</v>
      </c>
      <c r="T46" s="204" t="s">
        <v>486</v>
      </c>
      <c r="U46" s="202" t="s">
        <v>445</v>
      </c>
      <c r="V46" s="202" t="s">
        <v>487</v>
      </c>
      <c r="W46" s="211" t="s">
        <v>64</v>
      </c>
      <c r="X46" s="204" t="s">
        <v>65</v>
      </c>
      <c r="Y46" s="202" t="s">
        <v>488</v>
      </c>
      <c r="Z46" s="202" t="s">
        <v>452</v>
      </c>
      <c r="AA46" s="204" t="s">
        <v>489</v>
      </c>
      <c r="AB46" s="15" t="s">
        <v>69</v>
      </c>
      <c r="AC46" s="15" t="s">
        <v>70</v>
      </c>
      <c r="AD46" s="15" t="s">
        <v>71</v>
      </c>
      <c r="AE46" s="15" t="s">
        <v>72</v>
      </c>
      <c r="AF46" s="15" t="s">
        <v>76</v>
      </c>
      <c r="AG46" s="15" t="s">
        <v>77</v>
      </c>
      <c r="AH46" s="15" t="s">
        <v>78</v>
      </c>
    </row>
    <row r="47" spans="1:34" ht="15.75" customHeight="1" x14ac:dyDescent="0.3">
      <c r="A47" s="234"/>
      <c r="B47" s="21" t="s">
        <v>25</v>
      </c>
      <c r="C47" s="7">
        <f>Formulaire!B14</f>
        <v>4</v>
      </c>
      <c r="D47" s="7">
        <f>Formulaire!C14</f>
        <v>0</v>
      </c>
      <c r="E47" s="7">
        <f>Formulaire!D14</f>
        <v>0</v>
      </c>
      <c r="F47" s="7">
        <f>Formulaire!E14</f>
        <v>0</v>
      </c>
      <c r="G47" s="7">
        <f>Formulaire!F14</f>
        <v>0</v>
      </c>
      <c r="H47" s="7">
        <f>Formulaire!G14</f>
        <v>0</v>
      </c>
      <c r="I47" s="7">
        <f>Formulaire!H14</f>
        <v>0</v>
      </c>
      <c r="J47" s="7">
        <f>Formulaire!I14</f>
        <v>0</v>
      </c>
      <c r="K47" s="7">
        <f>Formulaire!J14</f>
        <v>0</v>
      </c>
      <c r="L47" s="7">
        <f>Formulaire!K14</f>
        <v>0</v>
      </c>
      <c r="M47" s="7">
        <f>Formulaire!L14</f>
        <v>0</v>
      </c>
      <c r="N47" s="7">
        <f>Formulaire!M14</f>
        <v>0</v>
      </c>
      <c r="O47" s="7">
        <f>Formulaire!N14</f>
        <v>0</v>
      </c>
      <c r="P47" s="7">
        <f>Formulaire!O14</f>
        <v>0</v>
      </c>
      <c r="Q47" s="7">
        <f>Formulaire!P14</f>
        <v>0</v>
      </c>
      <c r="R47" s="7">
        <f>Formulaire!Q14</f>
        <v>0</v>
      </c>
      <c r="S47" s="7">
        <f>Formulaire!R14</f>
        <v>0</v>
      </c>
      <c r="T47" s="7">
        <f>Formulaire!S14</f>
        <v>0</v>
      </c>
      <c r="U47" s="7">
        <f>Formulaire!T14</f>
        <v>0</v>
      </c>
      <c r="V47" s="7">
        <f>Formulaire!U14</f>
        <v>0</v>
      </c>
      <c r="W47" s="7">
        <f>Formulaire!V14</f>
        <v>0</v>
      </c>
      <c r="X47" s="7">
        <f>Formulaire!W14</f>
        <v>0</v>
      </c>
      <c r="Y47" s="7">
        <f>Formulaire!X14</f>
        <v>0</v>
      </c>
      <c r="Z47" s="7">
        <f>Formulaire!Y14</f>
        <v>0</v>
      </c>
      <c r="AA47" s="7">
        <f>Formulaire!Z14</f>
        <v>0</v>
      </c>
      <c r="AB47" s="7">
        <f>Formulaire!AA14</f>
        <v>0</v>
      </c>
      <c r="AC47" s="7">
        <f>Formulaire!AB14</f>
        <v>0</v>
      </c>
      <c r="AD47" s="7">
        <f>Formulaire!AC14</f>
        <v>0</v>
      </c>
      <c r="AE47" s="7">
        <f>Formulaire!AD14</f>
        <v>0</v>
      </c>
      <c r="AF47" s="7" t="e">
        <f>Formulaire!#REF!</f>
        <v>#REF!</v>
      </c>
      <c r="AG47" s="7">
        <f>Formulaire!AE14</f>
        <v>0</v>
      </c>
      <c r="AH47" s="7">
        <f>Formulaire!AF14</f>
        <v>0</v>
      </c>
    </row>
    <row r="48" spans="1:34" ht="15.75" customHeight="1" x14ac:dyDescent="0.3">
      <c r="A48" s="234"/>
      <c r="B48" s="21" t="s">
        <v>35</v>
      </c>
      <c r="C48" s="7">
        <f>Formulaire!B16</f>
        <v>2</v>
      </c>
      <c r="D48" s="7">
        <f>Formulaire!C16</f>
        <v>0</v>
      </c>
      <c r="E48" s="7">
        <f>Formulaire!D16</f>
        <v>0</v>
      </c>
      <c r="F48" s="7">
        <f>Formulaire!E16</f>
        <v>0</v>
      </c>
      <c r="G48" s="7">
        <f>Formulaire!F16</f>
        <v>0</v>
      </c>
      <c r="H48" s="7">
        <f>Formulaire!G16</f>
        <v>0</v>
      </c>
      <c r="I48" s="7">
        <f>Formulaire!H16</f>
        <v>0</v>
      </c>
      <c r="J48" s="7">
        <f>Formulaire!I16</f>
        <v>0</v>
      </c>
      <c r="K48" s="7">
        <f>Formulaire!J16</f>
        <v>0</v>
      </c>
      <c r="L48" s="7">
        <f>Formulaire!K16</f>
        <v>0</v>
      </c>
      <c r="M48" s="7">
        <f>Formulaire!L16</f>
        <v>0</v>
      </c>
      <c r="N48" s="7">
        <f>Formulaire!M16</f>
        <v>0</v>
      </c>
      <c r="O48" s="7">
        <f>Formulaire!N16</f>
        <v>0</v>
      </c>
      <c r="P48" s="7">
        <f>Formulaire!O16</f>
        <v>0</v>
      </c>
      <c r="Q48" s="7">
        <f>Formulaire!P16</f>
        <v>0</v>
      </c>
      <c r="R48" s="7">
        <f>Formulaire!Q16</f>
        <v>0</v>
      </c>
      <c r="S48" s="7">
        <f>Formulaire!R16</f>
        <v>0</v>
      </c>
      <c r="T48" s="7">
        <f>Formulaire!S16</f>
        <v>0</v>
      </c>
      <c r="U48" s="7">
        <f>Formulaire!T16</f>
        <v>0</v>
      </c>
      <c r="V48" s="7">
        <f>Formulaire!U16</f>
        <v>0</v>
      </c>
      <c r="W48" s="7">
        <f>Formulaire!V16</f>
        <v>0</v>
      </c>
      <c r="X48" s="7">
        <f>Formulaire!W16</f>
        <v>0</v>
      </c>
      <c r="Y48" s="7">
        <f>Formulaire!X16</f>
        <v>0</v>
      </c>
      <c r="Z48" s="7">
        <f>Formulaire!Y16</f>
        <v>0</v>
      </c>
      <c r="AA48" s="7">
        <f>Formulaire!Z16</f>
        <v>0</v>
      </c>
      <c r="AB48" s="7">
        <f>Formulaire!AA16</f>
        <v>0</v>
      </c>
      <c r="AC48" s="7">
        <f>Formulaire!AB16</f>
        <v>0</v>
      </c>
      <c r="AD48" s="7">
        <f>Formulaire!AC16</f>
        <v>0</v>
      </c>
      <c r="AE48" s="7">
        <f>Formulaire!AD16</f>
        <v>0</v>
      </c>
      <c r="AF48" s="7" t="e">
        <f>Formulaire!#REF!</f>
        <v>#REF!</v>
      </c>
      <c r="AG48" s="7">
        <f>Formulaire!AE16</f>
        <v>0</v>
      </c>
      <c r="AH48" s="7">
        <f>Formulaire!AF16</f>
        <v>0</v>
      </c>
    </row>
    <row r="49" spans="1:34" ht="15.75" customHeight="1" x14ac:dyDescent="0.3">
      <c r="A49" s="234"/>
      <c r="B49" s="21" t="s">
        <v>291</v>
      </c>
      <c r="C49" s="7">
        <f>Formulaire!B18</f>
        <v>0</v>
      </c>
      <c r="D49" s="7">
        <f>Formulaire!C18</f>
        <v>0</v>
      </c>
      <c r="E49" s="7">
        <f>Formulaire!D18</f>
        <v>0</v>
      </c>
      <c r="F49" s="7">
        <f>Formulaire!E18</f>
        <v>0</v>
      </c>
      <c r="G49" s="7">
        <f>Formulaire!F18</f>
        <v>0</v>
      </c>
      <c r="H49" s="7">
        <f>Formulaire!G18</f>
        <v>0</v>
      </c>
      <c r="I49" s="7">
        <f>Formulaire!H18</f>
        <v>0</v>
      </c>
      <c r="J49" s="7">
        <f>Formulaire!I18</f>
        <v>0</v>
      </c>
      <c r="K49" s="7">
        <f>Formulaire!J18</f>
        <v>0</v>
      </c>
      <c r="L49" s="7">
        <f>Formulaire!K18</f>
        <v>0</v>
      </c>
      <c r="M49" s="7">
        <f>Formulaire!L18</f>
        <v>0</v>
      </c>
      <c r="N49" s="7">
        <f>Formulaire!M18</f>
        <v>0</v>
      </c>
      <c r="O49" s="7">
        <f>Formulaire!N18</f>
        <v>0</v>
      </c>
      <c r="P49" s="7">
        <f>Formulaire!O18</f>
        <v>0</v>
      </c>
      <c r="Q49" s="7">
        <f>Formulaire!P18</f>
        <v>0</v>
      </c>
      <c r="R49" s="7">
        <f>Formulaire!Q18</f>
        <v>0</v>
      </c>
      <c r="S49" s="7">
        <f>Formulaire!R18</f>
        <v>0</v>
      </c>
      <c r="T49" s="7">
        <f>Formulaire!S18</f>
        <v>0</v>
      </c>
      <c r="U49" s="7">
        <f>Formulaire!T18</f>
        <v>0</v>
      </c>
      <c r="V49" s="7">
        <f>Formulaire!U18</f>
        <v>0</v>
      </c>
      <c r="W49" s="7">
        <f>Formulaire!V18</f>
        <v>0</v>
      </c>
      <c r="X49" s="7">
        <f>Formulaire!W18</f>
        <v>0</v>
      </c>
      <c r="Y49" s="7">
        <f>Formulaire!X18</f>
        <v>0</v>
      </c>
      <c r="Z49" s="7">
        <f>Formulaire!Y18</f>
        <v>0</v>
      </c>
      <c r="AA49" s="7">
        <f>Formulaire!Z18</f>
        <v>0</v>
      </c>
      <c r="AB49" s="7">
        <f>Formulaire!AA18</f>
        <v>0</v>
      </c>
      <c r="AC49" s="7">
        <f>Formulaire!AB18</f>
        <v>0</v>
      </c>
      <c r="AD49" s="7">
        <f>Formulaire!AC18</f>
        <v>0</v>
      </c>
      <c r="AE49" s="7">
        <f>Formulaire!AD18</f>
        <v>0</v>
      </c>
      <c r="AF49" s="7" t="e">
        <f>Formulaire!#REF!</f>
        <v>#REF!</v>
      </c>
      <c r="AG49" s="7">
        <f>Formulaire!AE18</f>
        <v>0</v>
      </c>
      <c r="AH49" s="7">
        <f>Formulaire!AF18</f>
        <v>0</v>
      </c>
    </row>
    <row r="50" spans="1:34" ht="15.75" customHeight="1" x14ac:dyDescent="0.3">
      <c r="A50" s="234"/>
      <c r="B50" s="21" t="s">
        <v>292</v>
      </c>
      <c r="C50" s="7">
        <f>Formulaire!B20</f>
        <v>0</v>
      </c>
      <c r="D50" s="7">
        <f>Formulaire!C20</f>
        <v>0</v>
      </c>
      <c r="E50" s="7">
        <f>Formulaire!D20</f>
        <v>0</v>
      </c>
      <c r="F50" s="7">
        <f>Formulaire!E20</f>
        <v>0</v>
      </c>
      <c r="G50" s="7">
        <f>Formulaire!F20</f>
        <v>0</v>
      </c>
      <c r="H50" s="7">
        <f>Formulaire!G20</f>
        <v>0</v>
      </c>
      <c r="I50" s="7">
        <f>Formulaire!H20</f>
        <v>0</v>
      </c>
      <c r="J50" s="7">
        <f>Formulaire!I20</f>
        <v>0</v>
      </c>
      <c r="K50" s="7">
        <f>Formulaire!J20</f>
        <v>0</v>
      </c>
      <c r="L50" s="7">
        <f>Formulaire!K20</f>
        <v>0</v>
      </c>
      <c r="M50" s="7">
        <f>Formulaire!L20</f>
        <v>0</v>
      </c>
      <c r="N50" s="7">
        <f>Formulaire!M20</f>
        <v>0</v>
      </c>
      <c r="O50" s="7">
        <f>Formulaire!N20</f>
        <v>0</v>
      </c>
      <c r="P50" s="7">
        <f>Formulaire!O20</f>
        <v>0</v>
      </c>
      <c r="Q50" s="7">
        <f>Formulaire!P20</f>
        <v>0</v>
      </c>
      <c r="R50" s="7">
        <f>Formulaire!Q20</f>
        <v>0</v>
      </c>
      <c r="S50" s="7">
        <f>Formulaire!R20</f>
        <v>0</v>
      </c>
      <c r="T50" s="7">
        <f>Formulaire!S20</f>
        <v>0</v>
      </c>
      <c r="U50" s="7">
        <f>Formulaire!T20</f>
        <v>0</v>
      </c>
      <c r="V50" s="7">
        <f>Formulaire!U20</f>
        <v>0</v>
      </c>
      <c r="W50" s="7">
        <f>Formulaire!V20</f>
        <v>0</v>
      </c>
      <c r="X50" s="7">
        <f>Formulaire!W20</f>
        <v>0</v>
      </c>
      <c r="Y50" s="7">
        <f>Formulaire!X20</f>
        <v>0</v>
      </c>
      <c r="Z50" s="7">
        <f>Formulaire!Y20</f>
        <v>0</v>
      </c>
      <c r="AA50" s="7">
        <f>Formulaire!Z20</f>
        <v>0</v>
      </c>
      <c r="AB50" s="7">
        <f>Formulaire!AA20</f>
        <v>0</v>
      </c>
      <c r="AC50" s="7">
        <f>Formulaire!AB20</f>
        <v>0</v>
      </c>
      <c r="AD50" s="7">
        <f>Formulaire!AC20</f>
        <v>0</v>
      </c>
      <c r="AE50" s="7">
        <f>Formulaire!AD20</f>
        <v>0</v>
      </c>
      <c r="AF50" s="7" t="e">
        <f>Formulaire!#REF!</f>
        <v>#REF!</v>
      </c>
      <c r="AG50" s="7">
        <f>Formulaire!AE20</f>
        <v>0</v>
      </c>
      <c r="AH50" s="7">
        <f>Formulaire!AF20</f>
        <v>0</v>
      </c>
    </row>
    <row r="51" spans="1:34" ht="15.75" customHeight="1" x14ac:dyDescent="0.3">
      <c r="A51" s="234"/>
      <c r="B51" s="21" t="s">
        <v>293</v>
      </c>
      <c r="C51" s="7">
        <f>Formulaire!B22</f>
        <v>0</v>
      </c>
      <c r="D51" s="7">
        <f>Formulaire!C22</f>
        <v>0</v>
      </c>
      <c r="E51" s="7">
        <f>Formulaire!D22</f>
        <v>0</v>
      </c>
      <c r="F51" s="7">
        <f>Formulaire!E22</f>
        <v>0</v>
      </c>
      <c r="G51" s="7">
        <f>Formulaire!F22</f>
        <v>0</v>
      </c>
      <c r="H51" s="7">
        <f>Formulaire!G22</f>
        <v>0</v>
      </c>
      <c r="I51" s="7">
        <f>Formulaire!H22</f>
        <v>0</v>
      </c>
      <c r="J51" s="7">
        <f>Formulaire!I22</f>
        <v>0</v>
      </c>
      <c r="K51" s="7">
        <f>Formulaire!J22</f>
        <v>0</v>
      </c>
      <c r="L51" s="7">
        <f>Formulaire!K22</f>
        <v>0</v>
      </c>
      <c r="M51" s="7">
        <f>Formulaire!L22</f>
        <v>0</v>
      </c>
      <c r="N51" s="7">
        <f>Formulaire!M22</f>
        <v>0</v>
      </c>
      <c r="O51" s="7">
        <f>Formulaire!N22</f>
        <v>0</v>
      </c>
      <c r="P51" s="7">
        <f>Formulaire!O22</f>
        <v>0</v>
      </c>
      <c r="Q51" s="7">
        <f>Formulaire!P22</f>
        <v>0</v>
      </c>
      <c r="R51" s="7">
        <f>Formulaire!Q22</f>
        <v>0</v>
      </c>
      <c r="S51" s="7">
        <f>Formulaire!R22</f>
        <v>0</v>
      </c>
      <c r="T51" s="7">
        <f>Formulaire!S22</f>
        <v>0</v>
      </c>
      <c r="U51" s="7">
        <f>Formulaire!T22</f>
        <v>0</v>
      </c>
      <c r="V51" s="7">
        <f>Formulaire!U22</f>
        <v>0</v>
      </c>
      <c r="W51" s="7">
        <f>Formulaire!V22</f>
        <v>0</v>
      </c>
      <c r="X51" s="7">
        <f>Formulaire!W22</f>
        <v>0</v>
      </c>
      <c r="Y51" s="7">
        <f>Formulaire!X22</f>
        <v>0</v>
      </c>
      <c r="Z51" s="7">
        <f>Formulaire!Y22</f>
        <v>0</v>
      </c>
      <c r="AA51" s="7">
        <f>Formulaire!Z22</f>
        <v>0</v>
      </c>
      <c r="AB51" s="7">
        <f>Formulaire!AA22</f>
        <v>0</v>
      </c>
      <c r="AC51" s="7">
        <f>Formulaire!AB22</f>
        <v>0</v>
      </c>
      <c r="AD51" s="7">
        <f>Formulaire!AC22</f>
        <v>0</v>
      </c>
      <c r="AE51" s="7">
        <f>Formulaire!AD22</f>
        <v>0</v>
      </c>
      <c r="AF51" s="7" t="e">
        <f>Formulaire!#REF!</f>
        <v>#REF!</v>
      </c>
      <c r="AG51" s="7">
        <f>Formulaire!AE22</f>
        <v>0</v>
      </c>
      <c r="AH51" s="7">
        <f>Formulaire!AF22</f>
        <v>0</v>
      </c>
    </row>
    <row r="52" spans="1:34" ht="15.75" customHeight="1" x14ac:dyDescent="0.3">
      <c r="A52" s="234"/>
      <c r="B52" s="21" t="s">
        <v>294</v>
      </c>
      <c r="C52" s="7">
        <f>Formulaire!B24</f>
        <v>0</v>
      </c>
      <c r="D52" s="7">
        <f>Formulaire!C24</f>
        <v>0</v>
      </c>
      <c r="E52" s="7">
        <f>Formulaire!D24</f>
        <v>0</v>
      </c>
      <c r="F52" s="7">
        <f>Formulaire!E24</f>
        <v>0</v>
      </c>
      <c r="G52" s="7">
        <f>Formulaire!F24</f>
        <v>0</v>
      </c>
      <c r="H52" s="7">
        <f>Formulaire!G24</f>
        <v>0</v>
      </c>
      <c r="I52" s="7">
        <f>Formulaire!H24</f>
        <v>0</v>
      </c>
      <c r="J52" s="7">
        <f>Formulaire!I24</f>
        <v>0</v>
      </c>
      <c r="K52" s="7">
        <f>Formulaire!J24</f>
        <v>0</v>
      </c>
      <c r="L52" s="7">
        <f>Formulaire!K24</f>
        <v>0</v>
      </c>
      <c r="M52" s="7">
        <f>Formulaire!L24</f>
        <v>0</v>
      </c>
      <c r="N52" s="7">
        <f>Formulaire!M24</f>
        <v>0</v>
      </c>
      <c r="O52" s="7">
        <f>Formulaire!N24</f>
        <v>0</v>
      </c>
      <c r="P52" s="7">
        <f>Formulaire!O24</f>
        <v>0</v>
      </c>
      <c r="Q52" s="7">
        <f>Formulaire!P24</f>
        <v>0</v>
      </c>
      <c r="R52" s="7">
        <f>Formulaire!Q24</f>
        <v>0</v>
      </c>
      <c r="S52" s="7">
        <f>Formulaire!R24</f>
        <v>0</v>
      </c>
      <c r="T52" s="7">
        <f>Formulaire!S24</f>
        <v>0</v>
      </c>
      <c r="U52" s="7">
        <f>Formulaire!T24</f>
        <v>0</v>
      </c>
      <c r="V52" s="7">
        <f>Formulaire!U24</f>
        <v>0</v>
      </c>
      <c r="W52" s="7">
        <f>Formulaire!V24</f>
        <v>0</v>
      </c>
      <c r="X52" s="7">
        <f>Formulaire!W24</f>
        <v>0</v>
      </c>
      <c r="Y52" s="7">
        <f>Formulaire!X24</f>
        <v>0</v>
      </c>
      <c r="Z52" s="7">
        <f>Formulaire!Y24</f>
        <v>0</v>
      </c>
      <c r="AA52" s="7">
        <f>Formulaire!Z24</f>
        <v>0</v>
      </c>
      <c r="AB52" s="7">
        <f>Formulaire!AA24</f>
        <v>0</v>
      </c>
      <c r="AC52" s="7">
        <f>Formulaire!AB24</f>
        <v>0</v>
      </c>
      <c r="AD52" s="7">
        <f>Formulaire!AC24</f>
        <v>0</v>
      </c>
      <c r="AE52" s="7">
        <f>Formulaire!AD24</f>
        <v>0</v>
      </c>
      <c r="AF52" s="7" t="e">
        <f>Formulaire!#REF!</f>
        <v>#REF!</v>
      </c>
      <c r="AG52" s="7">
        <f>Formulaire!AE24</f>
        <v>0</v>
      </c>
      <c r="AH52" s="7">
        <f>Formulaire!AF24</f>
        <v>0</v>
      </c>
    </row>
    <row r="53" spans="1:34" ht="15.75" customHeight="1" x14ac:dyDescent="0.3">
      <c r="A53" s="234"/>
      <c r="B53" s="21" t="s">
        <v>295</v>
      </c>
      <c r="C53" s="7">
        <f>Formulaire!B26</f>
        <v>0</v>
      </c>
      <c r="D53" s="7">
        <f>Formulaire!C26</f>
        <v>0</v>
      </c>
      <c r="E53" s="7">
        <f>Formulaire!D26</f>
        <v>0</v>
      </c>
      <c r="F53" s="7">
        <f>Formulaire!E26</f>
        <v>0</v>
      </c>
      <c r="G53" s="7">
        <f>Formulaire!F26</f>
        <v>0</v>
      </c>
      <c r="H53" s="7">
        <f>Formulaire!G26</f>
        <v>0</v>
      </c>
      <c r="I53" s="7">
        <f>Formulaire!H26</f>
        <v>0</v>
      </c>
      <c r="J53" s="7">
        <f>Formulaire!I26</f>
        <v>0</v>
      </c>
      <c r="K53" s="7">
        <f>Formulaire!J26</f>
        <v>0</v>
      </c>
      <c r="L53" s="7">
        <f>Formulaire!K26</f>
        <v>0</v>
      </c>
      <c r="M53" s="7">
        <f>Formulaire!L26</f>
        <v>0</v>
      </c>
      <c r="N53" s="7">
        <f>Formulaire!M26</f>
        <v>0</v>
      </c>
      <c r="O53" s="7">
        <f>Formulaire!N26</f>
        <v>0</v>
      </c>
      <c r="P53" s="7">
        <f>Formulaire!O26</f>
        <v>0</v>
      </c>
      <c r="Q53" s="7">
        <f>Formulaire!P26</f>
        <v>0</v>
      </c>
      <c r="R53" s="7">
        <f>Formulaire!Q26</f>
        <v>0</v>
      </c>
      <c r="S53" s="7">
        <f>Formulaire!R26</f>
        <v>0</v>
      </c>
      <c r="T53" s="7">
        <f>Formulaire!S26</f>
        <v>0</v>
      </c>
      <c r="U53" s="7">
        <f>Formulaire!T26</f>
        <v>0</v>
      </c>
      <c r="V53" s="7">
        <f>Formulaire!U26</f>
        <v>0</v>
      </c>
      <c r="W53" s="7">
        <f>Formulaire!V26</f>
        <v>0</v>
      </c>
      <c r="X53" s="7">
        <f>Formulaire!W26</f>
        <v>0</v>
      </c>
      <c r="Y53" s="7">
        <f>Formulaire!X26</f>
        <v>0</v>
      </c>
      <c r="Z53" s="7">
        <f>Formulaire!Y26</f>
        <v>0</v>
      </c>
      <c r="AA53" s="7">
        <f>Formulaire!Z26</f>
        <v>0</v>
      </c>
      <c r="AB53" s="7">
        <f>Formulaire!AA26</f>
        <v>0</v>
      </c>
      <c r="AC53" s="7">
        <f>Formulaire!AB26</f>
        <v>0</v>
      </c>
      <c r="AD53" s="7">
        <f>Formulaire!AC26</f>
        <v>0</v>
      </c>
      <c r="AE53" s="7">
        <f>Formulaire!AD26</f>
        <v>0</v>
      </c>
      <c r="AF53" s="7" t="e">
        <f>Formulaire!#REF!</f>
        <v>#REF!</v>
      </c>
      <c r="AG53" s="7">
        <f>Formulaire!AE26</f>
        <v>0</v>
      </c>
      <c r="AH53" s="7">
        <f>Formulaire!AF26</f>
        <v>0</v>
      </c>
    </row>
    <row r="54" spans="1:34" ht="15.75" customHeight="1" x14ac:dyDescent="0.3">
      <c r="A54" s="234"/>
      <c r="B54" s="21" t="s">
        <v>296</v>
      </c>
      <c r="C54" s="7">
        <f>Formulaire!B28</f>
        <v>0</v>
      </c>
      <c r="D54" s="7">
        <f>Formulaire!C28</f>
        <v>0</v>
      </c>
      <c r="E54" s="7">
        <f>Formulaire!D28</f>
        <v>0</v>
      </c>
      <c r="F54" s="7">
        <f>Formulaire!E28</f>
        <v>0</v>
      </c>
      <c r="G54" s="7">
        <f>Formulaire!F28</f>
        <v>0</v>
      </c>
      <c r="H54" s="7">
        <f>Formulaire!G28</f>
        <v>0</v>
      </c>
      <c r="I54" s="7">
        <f>Formulaire!H28</f>
        <v>0</v>
      </c>
      <c r="J54" s="7">
        <f>Formulaire!I28</f>
        <v>0</v>
      </c>
      <c r="K54" s="7">
        <f>Formulaire!J28</f>
        <v>0</v>
      </c>
      <c r="L54" s="7">
        <f>Formulaire!K28</f>
        <v>0</v>
      </c>
      <c r="M54" s="7">
        <f>Formulaire!L28</f>
        <v>0</v>
      </c>
      <c r="N54" s="7">
        <f>Formulaire!M28</f>
        <v>0</v>
      </c>
      <c r="O54" s="7">
        <f>Formulaire!N28</f>
        <v>0</v>
      </c>
      <c r="P54" s="7">
        <f>Formulaire!O28</f>
        <v>0</v>
      </c>
      <c r="Q54" s="7">
        <f>Formulaire!P28</f>
        <v>0</v>
      </c>
      <c r="R54" s="7">
        <f>Formulaire!Q28</f>
        <v>0</v>
      </c>
      <c r="S54" s="7">
        <f>Formulaire!R28</f>
        <v>0</v>
      </c>
      <c r="T54" s="7">
        <f>Formulaire!S28</f>
        <v>0</v>
      </c>
      <c r="U54" s="7">
        <f>Formulaire!T28</f>
        <v>0</v>
      </c>
      <c r="V54" s="7">
        <f>Formulaire!U28</f>
        <v>0</v>
      </c>
      <c r="W54" s="7">
        <f>Formulaire!V28</f>
        <v>0</v>
      </c>
      <c r="X54" s="7">
        <f>Formulaire!W28</f>
        <v>0</v>
      </c>
      <c r="Y54" s="7">
        <f>Formulaire!X28</f>
        <v>0</v>
      </c>
      <c r="Z54" s="7">
        <f>Formulaire!Y28</f>
        <v>0</v>
      </c>
      <c r="AA54" s="7">
        <f>Formulaire!Z28</f>
        <v>0</v>
      </c>
      <c r="AB54" s="7">
        <f>Formulaire!AA28</f>
        <v>0</v>
      </c>
      <c r="AC54" s="7">
        <f>Formulaire!AB28</f>
        <v>0</v>
      </c>
      <c r="AD54" s="7">
        <f>Formulaire!AC28</f>
        <v>0</v>
      </c>
      <c r="AE54" s="7">
        <f>Formulaire!AD28</f>
        <v>0</v>
      </c>
      <c r="AF54" s="7" t="e">
        <f>Formulaire!#REF!</f>
        <v>#REF!</v>
      </c>
      <c r="AG54" s="7">
        <f>Formulaire!AE28</f>
        <v>0</v>
      </c>
      <c r="AH54" s="7">
        <f>Formulaire!AF28</f>
        <v>0</v>
      </c>
    </row>
    <row r="55" spans="1:34" ht="15.75" customHeight="1" x14ac:dyDescent="0.3">
      <c r="A55" s="234"/>
      <c r="B55" s="21" t="s">
        <v>297</v>
      </c>
      <c r="C55" s="7">
        <f>Formulaire!B30</f>
        <v>0</v>
      </c>
      <c r="D55" s="7">
        <f>Formulaire!C30</f>
        <v>0</v>
      </c>
      <c r="E55" s="7">
        <f>Formulaire!D30</f>
        <v>0</v>
      </c>
      <c r="F55" s="7">
        <f>Formulaire!E30</f>
        <v>0</v>
      </c>
      <c r="G55" s="7">
        <f>Formulaire!F30</f>
        <v>0</v>
      </c>
      <c r="H55" s="7">
        <f>Formulaire!G30</f>
        <v>0</v>
      </c>
      <c r="I55" s="7">
        <f>Formulaire!H30</f>
        <v>0</v>
      </c>
      <c r="J55" s="7">
        <f>Formulaire!I30</f>
        <v>0</v>
      </c>
      <c r="K55" s="7">
        <f>Formulaire!J30</f>
        <v>0</v>
      </c>
      <c r="L55" s="7">
        <f>Formulaire!K30</f>
        <v>0</v>
      </c>
      <c r="M55" s="7">
        <f>Formulaire!L30</f>
        <v>0</v>
      </c>
      <c r="N55" s="7">
        <f>Formulaire!M30</f>
        <v>0</v>
      </c>
      <c r="O55" s="7">
        <f>Formulaire!N30</f>
        <v>0</v>
      </c>
      <c r="P55" s="7">
        <f>Formulaire!O30</f>
        <v>0</v>
      </c>
      <c r="Q55" s="7">
        <f>Formulaire!P30</f>
        <v>0</v>
      </c>
      <c r="R55" s="7">
        <f>Formulaire!Q30</f>
        <v>0</v>
      </c>
      <c r="S55" s="7">
        <f>Formulaire!R30</f>
        <v>0</v>
      </c>
      <c r="T55" s="7">
        <f>Formulaire!S30</f>
        <v>0</v>
      </c>
      <c r="U55" s="7">
        <f>Formulaire!T30</f>
        <v>0</v>
      </c>
      <c r="V55" s="7">
        <f>Formulaire!U30</f>
        <v>0</v>
      </c>
      <c r="W55" s="7">
        <f>Formulaire!V30</f>
        <v>0</v>
      </c>
      <c r="X55" s="7">
        <f>Formulaire!W30</f>
        <v>0</v>
      </c>
      <c r="Y55" s="7">
        <f>Formulaire!X30</f>
        <v>0</v>
      </c>
      <c r="Z55" s="7">
        <f>Formulaire!Y30</f>
        <v>0</v>
      </c>
      <c r="AA55" s="7">
        <f>Formulaire!Z30</f>
        <v>0</v>
      </c>
      <c r="AB55" s="7">
        <f>Formulaire!AA30</f>
        <v>0</v>
      </c>
      <c r="AC55" s="7">
        <f>Formulaire!AB30</f>
        <v>0</v>
      </c>
      <c r="AD55" s="7">
        <f>Formulaire!AC30</f>
        <v>0</v>
      </c>
      <c r="AE55" s="7">
        <f>Formulaire!AD30</f>
        <v>0</v>
      </c>
      <c r="AF55" s="7" t="e">
        <f>Formulaire!#REF!</f>
        <v>#REF!</v>
      </c>
      <c r="AG55" s="7">
        <f>Formulaire!AE30</f>
        <v>0</v>
      </c>
      <c r="AH55" s="7">
        <f>Formulaire!AF30</f>
        <v>0</v>
      </c>
    </row>
    <row r="56" spans="1:34" ht="15.75" customHeight="1" x14ac:dyDescent="0.3">
      <c r="A56" s="234"/>
      <c r="B56" s="21" t="s">
        <v>298</v>
      </c>
      <c r="C56" s="7">
        <f>Formulaire!B32</f>
        <v>0</v>
      </c>
      <c r="D56" s="7">
        <f>Formulaire!C32</f>
        <v>0</v>
      </c>
      <c r="E56" s="7">
        <f>Formulaire!D32</f>
        <v>0</v>
      </c>
      <c r="F56" s="7">
        <f>Formulaire!E32</f>
        <v>0</v>
      </c>
      <c r="G56" s="7">
        <f>Formulaire!F32</f>
        <v>0</v>
      </c>
      <c r="H56" s="7">
        <f>Formulaire!G32</f>
        <v>0</v>
      </c>
      <c r="I56" s="7">
        <f>Formulaire!H32</f>
        <v>0</v>
      </c>
      <c r="J56" s="7">
        <f>Formulaire!I32</f>
        <v>0</v>
      </c>
      <c r="K56" s="7">
        <f>Formulaire!J32</f>
        <v>0</v>
      </c>
      <c r="L56" s="7">
        <f>Formulaire!K32</f>
        <v>0</v>
      </c>
      <c r="M56" s="7">
        <f>Formulaire!L32</f>
        <v>0</v>
      </c>
      <c r="N56" s="7">
        <f>Formulaire!M32</f>
        <v>0</v>
      </c>
      <c r="O56" s="7">
        <f>Formulaire!N32</f>
        <v>0</v>
      </c>
      <c r="P56" s="7">
        <f>Formulaire!O32</f>
        <v>0</v>
      </c>
      <c r="Q56" s="7">
        <f>Formulaire!P32</f>
        <v>0</v>
      </c>
      <c r="R56" s="7">
        <f>Formulaire!Q32</f>
        <v>0</v>
      </c>
      <c r="S56" s="7">
        <f>Formulaire!R32</f>
        <v>0</v>
      </c>
      <c r="T56" s="7">
        <f>Formulaire!S32</f>
        <v>0</v>
      </c>
      <c r="U56" s="7">
        <f>Formulaire!T32</f>
        <v>0</v>
      </c>
      <c r="V56" s="7">
        <f>Formulaire!U32</f>
        <v>0</v>
      </c>
      <c r="W56" s="7">
        <f>Formulaire!V32</f>
        <v>0</v>
      </c>
      <c r="X56" s="7">
        <f>Formulaire!W32</f>
        <v>0</v>
      </c>
      <c r="Y56" s="7">
        <f>Formulaire!X32</f>
        <v>0</v>
      </c>
      <c r="Z56" s="7">
        <f>Formulaire!Y32</f>
        <v>0</v>
      </c>
      <c r="AA56" s="7">
        <f>Formulaire!Z32</f>
        <v>0</v>
      </c>
      <c r="AB56" s="7">
        <f>Formulaire!AA32</f>
        <v>0</v>
      </c>
      <c r="AC56" s="7">
        <f>Formulaire!AB32</f>
        <v>0</v>
      </c>
      <c r="AD56" s="7">
        <f>Formulaire!AC32</f>
        <v>0</v>
      </c>
      <c r="AE56" s="7">
        <f>Formulaire!AD32</f>
        <v>0</v>
      </c>
      <c r="AF56" s="7" t="e">
        <f>Formulaire!#REF!</f>
        <v>#REF!</v>
      </c>
      <c r="AG56" s="7">
        <f>Formulaire!AE32</f>
        <v>0</v>
      </c>
      <c r="AH56" s="7">
        <f>Formulaire!AF32</f>
        <v>0</v>
      </c>
    </row>
    <row r="57" spans="1:34" ht="15.75" customHeight="1" x14ac:dyDescent="0.3">
      <c r="A57" s="234"/>
      <c r="B57" s="21" t="s">
        <v>299</v>
      </c>
      <c r="C57" s="7">
        <f>Formulaire!B34</f>
        <v>0</v>
      </c>
      <c r="D57" s="7">
        <f>Formulaire!C34</f>
        <v>0</v>
      </c>
      <c r="E57" s="7">
        <f>Formulaire!D34</f>
        <v>0</v>
      </c>
      <c r="F57" s="7">
        <f>Formulaire!E34</f>
        <v>0</v>
      </c>
      <c r="G57" s="7">
        <f>Formulaire!F34</f>
        <v>0</v>
      </c>
      <c r="H57" s="7">
        <f>Formulaire!G34</f>
        <v>0</v>
      </c>
      <c r="I57" s="7">
        <f>Formulaire!H34</f>
        <v>0</v>
      </c>
      <c r="J57" s="7">
        <f>Formulaire!I34</f>
        <v>0</v>
      </c>
      <c r="K57" s="7">
        <f>Formulaire!J34</f>
        <v>0</v>
      </c>
      <c r="L57" s="7">
        <f>Formulaire!K34</f>
        <v>0</v>
      </c>
      <c r="M57" s="7">
        <f>Formulaire!L34</f>
        <v>0</v>
      </c>
      <c r="N57" s="7">
        <f>Formulaire!M34</f>
        <v>0</v>
      </c>
      <c r="O57" s="7">
        <f>Formulaire!N34</f>
        <v>0</v>
      </c>
      <c r="P57" s="7">
        <f>Formulaire!O34</f>
        <v>0</v>
      </c>
      <c r="Q57" s="7">
        <f>Formulaire!P34</f>
        <v>0</v>
      </c>
      <c r="R57" s="7">
        <f>Formulaire!Q34</f>
        <v>0</v>
      </c>
      <c r="S57" s="7">
        <f>Formulaire!R34</f>
        <v>0</v>
      </c>
      <c r="T57" s="7">
        <f>Formulaire!S34</f>
        <v>0</v>
      </c>
      <c r="U57" s="7">
        <f>Formulaire!T34</f>
        <v>0</v>
      </c>
      <c r="V57" s="7">
        <f>Formulaire!U34</f>
        <v>0</v>
      </c>
      <c r="W57" s="7">
        <f>Formulaire!V34</f>
        <v>0</v>
      </c>
      <c r="X57" s="7">
        <f>Formulaire!W34</f>
        <v>0</v>
      </c>
      <c r="Y57" s="7">
        <f>Formulaire!X34</f>
        <v>0</v>
      </c>
      <c r="Z57" s="7">
        <f>Formulaire!Y34</f>
        <v>0</v>
      </c>
      <c r="AA57" s="7">
        <f>Formulaire!Z34</f>
        <v>0</v>
      </c>
      <c r="AB57" s="7">
        <f>Formulaire!AA34</f>
        <v>0</v>
      </c>
      <c r="AC57" s="7">
        <f>Formulaire!AB34</f>
        <v>0</v>
      </c>
      <c r="AD57" s="7">
        <f>Formulaire!AC34</f>
        <v>0</v>
      </c>
      <c r="AE57" s="7">
        <f>Formulaire!AD34</f>
        <v>0</v>
      </c>
      <c r="AF57" s="7" t="e">
        <f>Formulaire!#REF!</f>
        <v>#REF!</v>
      </c>
      <c r="AG57" s="7">
        <f>Formulaire!AE34</f>
        <v>0</v>
      </c>
      <c r="AH57" s="7">
        <f>Formulaire!AF34</f>
        <v>0</v>
      </c>
    </row>
    <row r="58" spans="1:34" ht="15.75" customHeight="1" x14ac:dyDescent="0.3">
      <c r="A58" s="234"/>
      <c r="B58" s="21" t="s">
        <v>300</v>
      </c>
      <c r="C58" s="7">
        <f>Formulaire!B36</f>
        <v>0</v>
      </c>
      <c r="D58" s="7">
        <f>Formulaire!C36</f>
        <v>0</v>
      </c>
      <c r="E58" s="7">
        <f>Formulaire!D36</f>
        <v>0</v>
      </c>
      <c r="F58" s="7">
        <f>Formulaire!E36</f>
        <v>0</v>
      </c>
      <c r="G58" s="7">
        <f>Formulaire!F36</f>
        <v>0</v>
      </c>
      <c r="H58" s="7">
        <f>Formulaire!G36</f>
        <v>0</v>
      </c>
      <c r="I58" s="7">
        <f>Formulaire!H36</f>
        <v>0</v>
      </c>
      <c r="J58" s="7">
        <f>Formulaire!I36</f>
        <v>0</v>
      </c>
      <c r="K58" s="7">
        <f>Formulaire!J36</f>
        <v>0</v>
      </c>
      <c r="L58" s="7">
        <f>Formulaire!K36</f>
        <v>0</v>
      </c>
      <c r="M58" s="7">
        <f>Formulaire!L36</f>
        <v>0</v>
      </c>
      <c r="N58" s="7">
        <f>Formulaire!M36</f>
        <v>0</v>
      </c>
      <c r="O58" s="7">
        <f>Formulaire!N36</f>
        <v>0</v>
      </c>
      <c r="P58" s="7">
        <f>Formulaire!O36</f>
        <v>0</v>
      </c>
      <c r="Q58" s="7">
        <f>Formulaire!P36</f>
        <v>0</v>
      </c>
      <c r="R58" s="7">
        <f>Formulaire!Q36</f>
        <v>0</v>
      </c>
      <c r="S58" s="7">
        <f>Formulaire!R36</f>
        <v>0</v>
      </c>
      <c r="T58" s="7">
        <f>Formulaire!S36</f>
        <v>0</v>
      </c>
      <c r="U58" s="7">
        <f>Formulaire!T36</f>
        <v>0</v>
      </c>
      <c r="V58" s="7">
        <f>Formulaire!U36</f>
        <v>0</v>
      </c>
      <c r="W58" s="7">
        <f>Formulaire!V36</f>
        <v>0</v>
      </c>
      <c r="X58" s="7">
        <f>Formulaire!W36</f>
        <v>0</v>
      </c>
      <c r="Y58" s="7">
        <f>Formulaire!X36</f>
        <v>0</v>
      </c>
      <c r="Z58" s="7">
        <f>Formulaire!Y36</f>
        <v>0</v>
      </c>
      <c r="AA58" s="7">
        <f>Formulaire!Z36</f>
        <v>0</v>
      </c>
      <c r="AB58" s="7">
        <f>Formulaire!AA36</f>
        <v>0</v>
      </c>
      <c r="AC58" s="7">
        <f>Formulaire!AB36</f>
        <v>0</v>
      </c>
      <c r="AD58" s="7">
        <f>Formulaire!AC36</f>
        <v>0</v>
      </c>
      <c r="AE58" s="7">
        <f>Formulaire!AD36</f>
        <v>0</v>
      </c>
      <c r="AF58" s="7" t="e">
        <f>Formulaire!#REF!</f>
        <v>#REF!</v>
      </c>
      <c r="AG58" s="7">
        <f>Formulaire!AF36</f>
        <v>0</v>
      </c>
      <c r="AH58" s="7">
        <f>Formulaire!AG36</f>
        <v>0</v>
      </c>
    </row>
    <row r="59" spans="1:34" ht="15.75" customHeight="1" x14ac:dyDescent="0.3">
      <c r="A59" s="234"/>
      <c r="B59" s="21" t="s">
        <v>301</v>
      </c>
      <c r="C59" s="7">
        <f>Formulaire!B38</f>
        <v>0</v>
      </c>
      <c r="D59" s="7">
        <f>Formulaire!C38</f>
        <v>0</v>
      </c>
      <c r="E59" s="7">
        <f>Formulaire!D38</f>
        <v>0</v>
      </c>
      <c r="F59" s="7">
        <f>Formulaire!E38</f>
        <v>0</v>
      </c>
      <c r="G59" s="7">
        <f>Formulaire!F38</f>
        <v>0</v>
      </c>
      <c r="H59" s="7">
        <f>Formulaire!G38</f>
        <v>0</v>
      </c>
      <c r="I59" s="7">
        <f>Formulaire!H38</f>
        <v>0</v>
      </c>
      <c r="J59" s="7">
        <f>Formulaire!I38</f>
        <v>0</v>
      </c>
      <c r="K59" s="7">
        <f>Formulaire!J38</f>
        <v>0</v>
      </c>
      <c r="L59" s="7">
        <f>Formulaire!K38</f>
        <v>0</v>
      </c>
      <c r="M59" s="7">
        <f>Formulaire!L38</f>
        <v>0</v>
      </c>
      <c r="N59" s="7">
        <f>Formulaire!M38</f>
        <v>0</v>
      </c>
      <c r="O59" s="7">
        <f>Formulaire!N38</f>
        <v>0</v>
      </c>
      <c r="P59" s="7">
        <f>Formulaire!O38</f>
        <v>0</v>
      </c>
      <c r="Q59" s="7">
        <f>Formulaire!P38</f>
        <v>0</v>
      </c>
      <c r="R59" s="7">
        <f>Formulaire!Q38</f>
        <v>0</v>
      </c>
      <c r="S59" s="7">
        <f>Formulaire!R38</f>
        <v>0</v>
      </c>
      <c r="T59" s="7">
        <f>Formulaire!S38</f>
        <v>0</v>
      </c>
      <c r="U59" s="7">
        <f>Formulaire!T38</f>
        <v>0</v>
      </c>
      <c r="V59" s="7">
        <f>Formulaire!U38</f>
        <v>0</v>
      </c>
      <c r="W59" s="7">
        <f>Formulaire!V38</f>
        <v>0</v>
      </c>
      <c r="X59" s="7">
        <f>Formulaire!W38</f>
        <v>0</v>
      </c>
      <c r="Y59" s="7">
        <f>Formulaire!X38</f>
        <v>0</v>
      </c>
      <c r="Z59" s="7">
        <f>Formulaire!Y38</f>
        <v>0</v>
      </c>
      <c r="AA59" s="7">
        <f>Formulaire!Z38</f>
        <v>0</v>
      </c>
      <c r="AB59" s="7">
        <f>Formulaire!AA38</f>
        <v>0</v>
      </c>
      <c r="AC59" s="7">
        <f>Formulaire!AB38</f>
        <v>0</v>
      </c>
      <c r="AD59" s="7">
        <f>Formulaire!AC38</f>
        <v>0</v>
      </c>
      <c r="AE59" s="7">
        <f>Formulaire!AD38</f>
        <v>0</v>
      </c>
      <c r="AF59" s="7" t="e">
        <f>Formulaire!#REF!</f>
        <v>#REF!</v>
      </c>
      <c r="AG59" s="7">
        <f>Formulaire!AE38</f>
        <v>0</v>
      </c>
      <c r="AH59" s="7">
        <f>Formulaire!AF38</f>
        <v>0</v>
      </c>
    </row>
    <row r="60" spans="1:34" ht="15.75" customHeight="1" x14ac:dyDescent="0.3">
      <c r="A60" s="234"/>
      <c r="B60" s="21" t="s">
        <v>302</v>
      </c>
      <c r="C60" s="7">
        <f>Formulaire!B40</f>
        <v>0</v>
      </c>
      <c r="D60" s="7">
        <f>Formulaire!C40</f>
        <v>0</v>
      </c>
      <c r="E60" s="7">
        <f>Formulaire!D40</f>
        <v>0</v>
      </c>
      <c r="F60" s="7">
        <f>Formulaire!E40</f>
        <v>0</v>
      </c>
      <c r="G60" s="7">
        <f>Formulaire!F40</f>
        <v>0</v>
      </c>
      <c r="H60" s="7">
        <f>Formulaire!G40</f>
        <v>0</v>
      </c>
      <c r="I60" s="7">
        <f>Formulaire!H40</f>
        <v>0</v>
      </c>
      <c r="J60" s="7">
        <f>Formulaire!I40</f>
        <v>0</v>
      </c>
      <c r="K60" s="7">
        <f>Formulaire!J40</f>
        <v>0</v>
      </c>
      <c r="L60" s="7">
        <f>Formulaire!K40</f>
        <v>0</v>
      </c>
      <c r="M60" s="7">
        <f>Formulaire!L40</f>
        <v>0</v>
      </c>
      <c r="N60" s="7">
        <f>Formulaire!M40</f>
        <v>0</v>
      </c>
      <c r="O60" s="7">
        <f>Formulaire!N40</f>
        <v>0</v>
      </c>
      <c r="P60" s="7">
        <f>Formulaire!O40</f>
        <v>0</v>
      </c>
      <c r="Q60" s="7">
        <f>Formulaire!P40</f>
        <v>0</v>
      </c>
      <c r="R60" s="7">
        <f>Formulaire!Q40</f>
        <v>0</v>
      </c>
      <c r="S60" s="7">
        <f>Formulaire!R40</f>
        <v>0</v>
      </c>
      <c r="T60" s="7">
        <f>Formulaire!S40</f>
        <v>0</v>
      </c>
      <c r="U60" s="7">
        <f>Formulaire!T40</f>
        <v>0</v>
      </c>
      <c r="V60" s="7">
        <f>Formulaire!U40</f>
        <v>0</v>
      </c>
      <c r="W60" s="7">
        <f>Formulaire!V40</f>
        <v>0</v>
      </c>
      <c r="X60" s="7">
        <f>Formulaire!W40</f>
        <v>0</v>
      </c>
      <c r="Y60" s="7">
        <f>Formulaire!X40</f>
        <v>0</v>
      </c>
      <c r="Z60" s="7">
        <f>Formulaire!Y40</f>
        <v>0</v>
      </c>
      <c r="AA60" s="7">
        <f>Formulaire!Z40</f>
        <v>0</v>
      </c>
      <c r="AB60" s="7">
        <f>Formulaire!AA40</f>
        <v>0</v>
      </c>
      <c r="AC60" s="7">
        <f>Formulaire!AB40</f>
        <v>0</v>
      </c>
      <c r="AD60" s="7">
        <f>Formulaire!AC40</f>
        <v>0</v>
      </c>
      <c r="AE60" s="7">
        <f>Formulaire!AD40</f>
        <v>0</v>
      </c>
      <c r="AF60" s="7" t="e">
        <f>Formulaire!#REF!</f>
        <v>#REF!</v>
      </c>
      <c r="AG60" s="7">
        <f>Formulaire!AE40</f>
        <v>0</v>
      </c>
      <c r="AH60" s="7">
        <f>Formulaire!AF40</f>
        <v>0</v>
      </c>
    </row>
    <row r="61" spans="1:34" ht="15.75" customHeight="1" x14ac:dyDescent="0.3">
      <c r="A61" s="234"/>
      <c r="B61" s="21" t="s">
        <v>303</v>
      </c>
      <c r="C61" s="7">
        <f>Formulaire!B42</f>
        <v>0</v>
      </c>
      <c r="D61" s="7">
        <f>Formulaire!C42</f>
        <v>0</v>
      </c>
      <c r="E61" s="7">
        <f>Formulaire!D42</f>
        <v>0</v>
      </c>
      <c r="F61" s="7">
        <f>Formulaire!E42</f>
        <v>0</v>
      </c>
      <c r="G61" s="7">
        <f>Formulaire!F42</f>
        <v>0</v>
      </c>
      <c r="H61" s="7">
        <f>Formulaire!G42</f>
        <v>0</v>
      </c>
      <c r="I61" s="7">
        <f>Formulaire!H42</f>
        <v>0</v>
      </c>
      <c r="J61" s="7">
        <f>Formulaire!I42</f>
        <v>0</v>
      </c>
      <c r="K61" s="7">
        <f>Formulaire!J42</f>
        <v>0</v>
      </c>
      <c r="L61" s="7">
        <f>Formulaire!K42</f>
        <v>0</v>
      </c>
      <c r="M61" s="7">
        <f>Formulaire!L42</f>
        <v>0</v>
      </c>
      <c r="N61" s="7">
        <f>Formulaire!M42</f>
        <v>0</v>
      </c>
      <c r="O61" s="7">
        <f>Formulaire!N42</f>
        <v>0</v>
      </c>
      <c r="P61" s="7">
        <f>Formulaire!O42</f>
        <v>0</v>
      </c>
      <c r="Q61" s="7">
        <f>Formulaire!P42</f>
        <v>0</v>
      </c>
      <c r="R61" s="7">
        <f>Formulaire!Q42</f>
        <v>0</v>
      </c>
      <c r="S61" s="7">
        <f>Formulaire!R42</f>
        <v>0</v>
      </c>
      <c r="T61" s="7">
        <f>Formulaire!S42</f>
        <v>0</v>
      </c>
      <c r="U61" s="7">
        <f>Formulaire!T42</f>
        <v>0</v>
      </c>
      <c r="V61" s="7">
        <f>Formulaire!U42</f>
        <v>0</v>
      </c>
      <c r="W61" s="7">
        <f>Formulaire!V42</f>
        <v>0</v>
      </c>
      <c r="X61" s="7">
        <f>Formulaire!W42</f>
        <v>0</v>
      </c>
      <c r="Y61" s="7">
        <f>Formulaire!X42</f>
        <v>0</v>
      </c>
      <c r="Z61" s="7">
        <f>Formulaire!Y42</f>
        <v>0</v>
      </c>
      <c r="AA61" s="7">
        <f>Formulaire!Z42</f>
        <v>0</v>
      </c>
      <c r="AB61" s="7">
        <f>Formulaire!AA42</f>
        <v>0</v>
      </c>
      <c r="AC61" s="7">
        <f>Formulaire!AB42</f>
        <v>0</v>
      </c>
      <c r="AD61" s="7">
        <f>Formulaire!AC42</f>
        <v>0</v>
      </c>
      <c r="AE61" s="7">
        <f>Formulaire!AD42</f>
        <v>0</v>
      </c>
      <c r="AF61" s="7" t="e">
        <f>Formulaire!#REF!</f>
        <v>#REF!</v>
      </c>
      <c r="AG61" s="7">
        <f>Formulaire!AE42</f>
        <v>0</v>
      </c>
      <c r="AH61" s="7">
        <f>Formulaire!AF42</f>
        <v>0</v>
      </c>
    </row>
    <row r="62" spans="1:34" ht="15.75" customHeight="1" x14ac:dyDescent="0.3">
      <c r="A62" s="234"/>
      <c r="B62" s="21" t="s">
        <v>304</v>
      </c>
      <c r="C62" s="7">
        <f>Formulaire!B44</f>
        <v>0</v>
      </c>
      <c r="D62" s="7">
        <f>Formulaire!C44</f>
        <v>0</v>
      </c>
      <c r="E62" s="7">
        <f>Formulaire!D44</f>
        <v>0</v>
      </c>
      <c r="F62" s="7">
        <f>Formulaire!E44</f>
        <v>0</v>
      </c>
      <c r="G62" s="7">
        <f>Formulaire!F44</f>
        <v>0</v>
      </c>
      <c r="H62" s="7">
        <f>Formulaire!G44</f>
        <v>0</v>
      </c>
      <c r="I62" s="7">
        <f>Formulaire!H44</f>
        <v>0</v>
      </c>
      <c r="J62" s="7">
        <f>Formulaire!I44</f>
        <v>0</v>
      </c>
      <c r="K62" s="7">
        <f>Formulaire!J44</f>
        <v>0</v>
      </c>
      <c r="L62" s="7">
        <f>Formulaire!K44</f>
        <v>0</v>
      </c>
      <c r="M62" s="7">
        <f>Formulaire!L44</f>
        <v>0</v>
      </c>
      <c r="N62" s="7">
        <f>Formulaire!M44</f>
        <v>0</v>
      </c>
      <c r="O62" s="7">
        <f>Formulaire!N44</f>
        <v>0</v>
      </c>
      <c r="P62" s="7">
        <f>Formulaire!O44</f>
        <v>0</v>
      </c>
      <c r="Q62" s="7">
        <f>Formulaire!P44</f>
        <v>0</v>
      </c>
      <c r="R62" s="7">
        <f>Formulaire!Q44</f>
        <v>0</v>
      </c>
      <c r="S62" s="7">
        <f>Formulaire!R44</f>
        <v>0</v>
      </c>
      <c r="T62" s="7">
        <f>Formulaire!S44</f>
        <v>0</v>
      </c>
      <c r="U62" s="7">
        <f>Formulaire!T44</f>
        <v>0</v>
      </c>
      <c r="V62" s="7">
        <f>Formulaire!U44</f>
        <v>0</v>
      </c>
      <c r="W62" s="7">
        <f>Formulaire!V44</f>
        <v>0</v>
      </c>
      <c r="X62" s="7">
        <f>Formulaire!W44</f>
        <v>0</v>
      </c>
      <c r="Y62" s="7">
        <f>Formulaire!X44</f>
        <v>0</v>
      </c>
      <c r="Z62" s="7">
        <f>Formulaire!Y44</f>
        <v>0</v>
      </c>
      <c r="AA62" s="7">
        <f>Formulaire!Z44</f>
        <v>0</v>
      </c>
      <c r="AB62" s="7">
        <f>Formulaire!AA44</f>
        <v>0</v>
      </c>
      <c r="AC62" s="7">
        <f>Formulaire!AB44</f>
        <v>0</v>
      </c>
      <c r="AD62" s="7">
        <f>Formulaire!AC44</f>
        <v>0</v>
      </c>
      <c r="AE62" s="7">
        <f>Formulaire!AD44</f>
        <v>0</v>
      </c>
      <c r="AF62" s="7" t="e">
        <f>Formulaire!#REF!</f>
        <v>#REF!</v>
      </c>
      <c r="AG62" s="7">
        <f>Formulaire!AE44</f>
        <v>0</v>
      </c>
      <c r="AH62" s="7">
        <f>Formulaire!AF44</f>
        <v>0</v>
      </c>
    </row>
    <row r="63" spans="1:34" ht="15.75" customHeight="1" x14ac:dyDescent="0.3">
      <c r="A63" s="234"/>
      <c r="B63" s="21" t="s">
        <v>305</v>
      </c>
      <c r="C63" s="7">
        <f>Formulaire!B46</f>
        <v>0</v>
      </c>
      <c r="D63" s="7">
        <f>Formulaire!C46</f>
        <v>0</v>
      </c>
      <c r="E63" s="7">
        <f>Formulaire!D46</f>
        <v>0</v>
      </c>
      <c r="F63" s="7">
        <f>Formulaire!E46</f>
        <v>0</v>
      </c>
      <c r="G63" s="7">
        <f>Formulaire!F46</f>
        <v>0</v>
      </c>
      <c r="H63" s="7">
        <f>Formulaire!G46</f>
        <v>0</v>
      </c>
      <c r="I63" s="7">
        <f>Formulaire!H46</f>
        <v>0</v>
      </c>
      <c r="J63" s="7">
        <f>Formulaire!I46</f>
        <v>0</v>
      </c>
      <c r="K63" s="7">
        <f>Formulaire!J46</f>
        <v>0</v>
      </c>
      <c r="L63" s="7">
        <f>Formulaire!K46</f>
        <v>0</v>
      </c>
      <c r="M63" s="7">
        <f>Formulaire!L46</f>
        <v>0</v>
      </c>
      <c r="N63" s="7">
        <f>Formulaire!M46</f>
        <v>0</v>
      </c>
      <c r="O63" s="7">
        <f>Formulaire!N46</f>
        <v>0</v>
      </c>
      <c r="P63" s="7">
        <f>Formulaire!O46</f>
        <v>0</v>
      </c>
      <c r="Q63" s="7">
        <f>Formulaire!P46</f>
        <v>0</v>
      </c>
      <c r="R63" s="7">
        <f>Formulaire!Q46</f>
        <v>0</v>
      </c>
      <c r="S63" s="7">
        <f>Formulaire!R46</f>
        <v>0</v>
      </c>
      <c r="T63" s="7">
        <f>Formulaire!S46</f>
        <v>0</v>
      </c>
      <c r="U63" s="7">
        <f>Formulaire!T46</f>
        <v>0</v>
      </c>
      <c r="V63" s="7">
        <f>Formulaire!U46</f>
        <v>0</v>
      </c>
      <c r="W63" s="7">
        <f>Formulaire!V46</f>
        <v>0</v>
      </c>
      <c r="X63" s="7">
        <f>Formulaire!W46</f>
        <v>0</v>
      </c>
      <c r="Y63" s="7">
        <f>Formulaire!X46</f>
        <v>0</v>
      </c>
      <c r="Z63" s="7">
        <f>Formulaire!Y46</f>
        <v>0</v>
      </c>
      <c r="AA63" s="7">
        <f>Formulaire!Z46</f>
        <v>0</v>
      </c>
      <c r="AB63" s="7">
        <f>Formulaire!AA46</f>
        <v>0</v>
      </c>
      <c r="AC63" s="7">
        <f>Formulaire!AB46</f>
        <v>0</v>
      </c>
      <c r="AD63" s="7">
        <f>Formulaire!AC46</f>
        <v>0</v>
      </c>
      <c r="AE63" s="7">
        <f>Formulaire!AD46</f>
        <v>0</v>
      </c>
      <c r="AF63" s="7" t="e">
        <f>Formulaire!#REF!</f>
        <v>#REF!</v>
      </c>
      <c r="AG63" s="7">
        <f>Formulaire!AE46</f>
        <v>0</v>
      </c>
      <c r="AH63" s="7">
        <f>Formulaire!AF46</f>
        <v>0</v>
      </c>
    </row>
    <row r="64" spans="1:34" ht="15.75" customHeight="1" x14ac:dyDescent="0.3">
      <c r="A64" s="234"/>
      <c r="B64" s="21" t="s">
        <v>306</v>
      </c>
      <c r="C64" s="7">
        <f>Formulaire!B48</f>
        <v>0</v>
      </c>
      <c r="D64" s="7">
        <f>Formulaire!C48</f>
        <v>0</v>
      </c>
      <c r="E64" s="7">
        <f>Formulaire!D48</f>
        <v>0</v>
      </c>
      <c r="F64" s="7">
        <f>Formulaire!E48</f>
        <v>0</v>
      </c>
      <c r="G64" s="7">
        <f>Formulaire!F48</f>
        <v>0</v>
      </c>
      <c r="H64" s="7">
        <f>Formulaire!G48</f>
        <v>0</v>
      </c>
      <c r="I64" s="7">
        <f>Formulaire!H48</f>
        <v>0</v>
      </c>
      <c r="J64" s="7">
        <f>Formulaire!I48</f>
        <v>0</v>
      </c>
      <c r="K64" s="7">
        <f>Formulaire!J48</f>
        <v>0</v>
      </c>
      <c r="L64" s="7">
        <f>Formulaire!K48</f>
        <v>0</v>
      </c>
      <c r="M64" s="7">
        <f>Formulaire!L48</f>
        <v>0</v>
      </c>
      <c r="N64" s="7">
        <f>Formulaire!M48</f>
        <v>0</v>
      </c>
      <c r="O64" s="7">
        <f>Formulaire!N48</f>
        <v>0</v>
      </c>
      <c r="P64" s="7">
        <f>Formulaire!O48</f>
        <v>0</v>
      </c>
      <c r="Q64" s="7">
        <f>Formulaire!P48</f>
        <v>0</v>
      </c>
      <c r="R64" s="7">
        <f>Formulaire!Q48</f>
        <v>0</v>
      </c>
      <c r="S64" s="7">
        <f>Formulaire!R48</f>
        <v>0</v>
      </c>
      <c r="T64" s="7">
        <f>Formulaire!S48</f>
        <v>0</v>
      </c>
      <c r="U64" s="7">
        <f>Formulaire!T48</f>
        <v>0</v>
      </c>
      <c r="V64" s="7">
        <f>Formulaire!U48</f>
        <v>0</v>
      </c>
      <c r="W64" s="7">
        <f>Formulaire!V48</f>
        <v>0</v>
      </c>
      <c r="X64" s="7">
        <f>Formulaire!W48</f>
        <v>0</v>
      </c>
      <c r="Y64" s="7">
        <f>Formulaire!X48</f>
        <v>0</v>
      </c>
      <c r="Z64" s="7">
        <f>Formulaire!Y48</f>
        <v>0</v>
      </c>
      <c r="AA64" s="7">
        <f>Formulaire!Z48</f>
        <v>0</v>
      </c>
      <c r="AB64" s="7">
        <f>Formulaire!AA48</f>
        <v>0</v>
      </c>
      <c r="AC64" s="7">
        <f>Formulaire!AB48</f>
        <v>0</v>
      </c>
      <c r="AD64" s="7">
        <f>Formulaire!AC48</f>
        <v>0</v>
      </c>
      <c r="AE64" s="7">
        <f>Formulaire!AD48</f>
        <v>0</v>
      </c>
      <c r="AF64" s="7" t="e">
        <f>Formulaire!#REF!</f>
        <v>#REF!</v>
      </c>
      <c r="AG64" s="7">
        <f>Formulaire!AE48</f>
        <v>0</v>
      </c>
      <c r="AH64" s="7">
        <f>Formulaire!AF48</f>
        <v>0</v>
      </c>
    </row>
    <row r="65" spans="1:34" ht="15.75" customHeight="1" x14ac:dyDescent="0.3">
      <c r="A65" s="234"/>
      <c r="B65" s="21" t="s">
        <v>307</v>
      </c>
      <c r="C65" s="7">
        <f>Formulaire!B50</f>
        <v>0</v>
      </c>
      <c r="D65" s="7">
        <f>Formulaire!C50</f>
        <v>0</v>
      </c>
      <c r="E65" s="7">
        <f>Formulaire!D50</f>
        <v>0</v>
      </c>
      <c r="F65" s="7">
        <f>Formulaire!E50</f>
        <v>0</v>
      </c>
      <c r="G65" s="7">
        <f>Formulaire!F50</f>
        <v>0</v>
      </c>
      <c r="H65" s="7">
        <f>Formulaire!G50</f>
        <v>0</v>
      </c>
      <c r="I65" s="7">
        <f>Formulaire!H50</f>
        <v>0</v>
      </c>
      <c r="J65" s="7">
        <f>Formulaire!I50</f>
        <v>0</v>
      </c>
      <c r="K65" s="7">
        <f>Formulaire!J50</f>
        <v>0</v>
      </c>
      <c r="L65" s="7">
        <f>Formulaire!K50</f>
        <v>0</v>
      </c>
      <c r="M65" s="7">
        <f>Formulaire!L50</f>
        <v>0</v>
      </c>
      <c r="N65" s="7">
        <f>Formulaire!M50</f>
        <v>0</v>
      </c>
      <c r="O65" s="7">
        <f>Formulaire!N50</f>
        <v>0</v>
      </c>
      <c r="P65" s="7">
        <f>Formulaire!O50</f>
        <v>0</v>
      </c>
      <c r="Q65" s="7">
        <f>Formulaire!P50</f>
        <v>0</v>
      </c>
      <c r="R65" s="7">
        <f>Formulaire!Q50</f>
        <v>0</v>
      </c>
      <c r="S65" s="7">
        <f>Formulaire!R50</f>
        <v>0</v>
      </c>
      <c r="T65" s="7">
        <f>Formulaire!S50</f>
        <v>0</v>
      </c>
      <c r="U65" s="7">
        <f>Formulaire!T50</f>
        <v>0</v>
      </c>
      <c r="V65" s="7">
        <f>Formulaire!U50</f>
        <v>0</v>
      </c>
      <c r="W65" s="7">
        <f>Formulaire!V50</f>
        <v>0</v>
      </c>
      <c r="X65" s="7">
        <f>Formulaire!W50</f>
        <v>0</v>
      </c>
      <c r="Y65" s="7">
        <f>Formulaire!X50</f>
        <v>0</v>
      </c>
      <c r="Z65" s="7">
        <f>Formulaire!Y50</f>
        <v>0</v>
      </c>
      <c r="AA65" s="7">
        <f>Formulaire!Z50</f>
        <v>0</v>
      </c>
      <c r="AB65" s="7">
        <f>Formulaire!AA50</f>
        <v>0</v>
      </c>
      <c r="AC65" s="7">
        <f>Formulaire!AB50</f>
        <v>0</v>
      </c>
      <c r="AD65" s="7">
        <f>Formulaire!AC50</f>
        <v>0</v>
      </c>
      <c r="AE65" s="7">
        <f>Formulaire!AD50</f>
        <v>0</v>
      </c>
      <c r="AF65" s="7" t="e">
        <f>Formulaire!#REF!</f>
        <v>#REF!</v>
      </c>
      <c r="AG65" s="7">
        <f>Formulaire!AE50</f>
        <v>0</v>
      </c>
      <c r="AH65" s="7">
        <f>Formulaire!AF50</f>
        <v>0</v>
      </c>
    </row>
    <row r="66" spans="1:34" ht="15.75" customHeight="1" x14ac:dyDescent="0.3">
      <c r="A66" s="234"/>
      <c r="B66" s="21" t="s">
        <v>308</v>
      </c>
      <c r="C66" s="7">
        <f>Formulaire!B52</f>
        <v>0</v>
      </c>
      <c r="D66" s="7">
        <f>Formulaire!C52</f>
        <v>0</v>
      </c>
      <c r="E66" s="7">
        <f>Formulaire!D52</f>
        <v>0</v>
      </c>
      <c r="F66" s="7">
        <f>Formulaire!E52</f>
        <v>0</v>
      </c>
      <c r="G66" s="7">
        <f>Formulaire!F52</f>
        <v>0</v>
      </c>
      <c r="H66" s="7">
        <f>Formulaire!G52</f>
        <v>0</v>
      </c>
      <c r="I66" s="7">
        <f>Formulaire!H52</f>
        <v>0</v>
      </c>
      <c r="J66" s="7">
        <f>Formulaire!I52</f>
        <v>0</v>
      </c>
      <c r="K66" s="7">
        <f>Formulaire!J52</f>
        <v>0</v>
      </c>
      <c r="L66" s="7">
        <f>Formulaire!K52</f>
        <v>0</v>
      </c>
      <c r="M66" s="7">
        <f>Formulaire!L52</f>
        <v>0</v>
      </c>
      <c r="N66" s="7">
        <f>Formulaire!M52</f>
        <v>0</v>
      </c>
      <c r="O66" s="7">
        <f>Formulaire!N52</f>
        <v>0</v>
      </c>
      <c r="P66" s="7">
        <f>Formulaire!O52</f>
        <v>0</v>
      </c>
      <c r="Q66" s="7">
        <f>Formulaire!P52</f>
        <v>0</v>
      </c>
      <c r="R66" s="7">
        <f>Formulaire!Q52</f>
        <v>0</v>
      </c>
      <c r="S66" s="7">
        <f>Formulaire!R52</f>
        <v>0</v>
      </c>
      <c r="T66" s="7">
        <f>Formulaire!S52</f>
        <v>0</v>
      </c>
      <c r="U66" s="7">
        <f>Formulaire!T52</f>
        <v>0</v>
      </c>
      <c r="V66" s="7">
        <f>Formulaire!U52</f>
        <v>0</v>
      </c>
      <c r="W66" s="7">
        <f>Formulaire!V52</f>
        <v>0</v>
      </c>
      <c r="X66" s="7">
        <f>Formulaire!W52</f>
        <v>0</v>
      </c>
      <c r="Y66" s="7">
        <f>Formulaire!X52</f>
        <v>0</v>
      </c>
      <c r="Z66" s="7">
        <f>Formulaire!Y52</f>
        <v>0</v>
      </c>
      <c r="AA66" s="7">
        <f>Formulaire!Z52</f>
        <v>0</v>
      </c>
      <c r="AB66" s="7">
        <f>Formulaire!AA52</f>
        <v>0</v>
      </c>
      <c r="AC66" s="7">
        <f>Formulaire!AB52</f>
        <v>0</v>
      </c>
      <c r="AD66" s="7">
        <f>Formulaire!AC52</f>
        <v>0</v>
      </c>
      <c r="AE66" s="7">
        <f>Formulaire!AD52</f>
        <v>0</v>
      </c>
      <c r="AF66" s="7" t="e">
        <f>Formulaire!#REF!</f>
        <v>#REF!</v>
      </c>
      <c r="AG66" s="7">
        <f>Formulaire!AE52</f>
        <v>0</v>
      </c>
      <c r="AH66" s="7">
        <f>Formulaire!AF52</f>
        <v>0</v>
      </c>
    </row>
    <row r="67" spans="1:34" ht="15.75" customHeight="1" x14ac:dyDescent="0.3">
      <c r="A67" s="234"/>
      <c r="B67" s="21" t="s">
        <v>309</v>
      </c>
      <c r="C67" s="7">
        <f>Formulaire!B54</f>
        <v>0</v>
      </c>
      <c r="D67" s="7">
        <f>Formulaire!C54</f>
        <v>0</v>
      </c>
      <c r="E67" s="7">
        <f>Formulaire!D54</f>
        <v>0</v>
      </c>
      <c r="F67" s="7">
        <f>Formulaire!E54</f>
        <v>0</v>
      </c>
      <c r="G67" s="7">
        <f>Formulaire!F54</f>
        <v>0</v>
      </c>
      <c r="H67" s="7">
        <f>Formulaire!G54</f>
        <v>0</v>
      </c>
      <c r="I67" s="7">
        <f>Formulaire!H54</f>
        <v>0</v>
      </c>
      <c r="J67" s="7">
        <f>Formulaire!I54</f>
        <v>0</v>
      </c>
      <c r="K67" s="7">
        <f>Formulaire!J54</f>
        <v>0</v>
      </c>
      <c r="L67" s="7">
        <f>Formulaire!K54</f>
        <v>0</v>
      </c>
      <c r="M67" s="7">
        <f>Formulaire!L54</f>
        <v>0</v>
      </c>
      <c r="N67" s="7">
        <f>Formulaire!M54</f>
        <v>0</v>
      </c>
      <c r="O67" s="7">
        <f>Formulaire!N54</f>
        <v>0</v>
      </c>
      <c r="P67" s="7">
        <f>Formulaire!O54</f>
        <v>0</v>
      </c>
      <c r="Q67" s="7">
        <f>Formulaire!P54</f>
        <v>0</v>
      </c>
      <c r="R67" s="7">
        <f>Formulaire!Q54</f>
        <v>0</v>
      </c>
      <c r="S67" s="7">
        <f>Formulaire!R54</f>
        <v>0</v>
      </c>
      <c r="T67" s="7">
        <f>Formulaire!S54</f>
        <v>0</v>
      </c>
      <c r="U67" s="7">
        <f>Formulaire!T54</f>
        <v>0</v>
      </c>
      <c r="V67" s="7">
        <f>Formulaire!U54</f>
        <v>0</v>
      </c>
      <c r="W67" s="7">
        <f>Formulaire!V54</f>
        <v>0</v>
      </c>
      <c r="X67" s="7">
        <f>Formulaire!W54</f>
        <v>0</v>
      </c>
      <c r="Y67" s="7">
        <f>Formulaire!X54</f>
        <v>0</v>
      </c>
      <c r="Z67" s="7">
        <f>Formulaire!Y54</f>
        <v>0</v>
      </c>
      <c r="AA67" s="7">
        <f>Formulaire!Z54</f>
        <v>0</v>
      </c>
      <c r="AB67" s="7">
        <f>Formulaire!AA54</f>
        <v>0</v>
      </c>
      <c r="AC67" s="7">
        <f>Formulaire!AB54</f>
        <v>0</v>
      </c>
      <c r="AD67" s="7">
        <f>Formulaire!AC54</f>
        <v>0</v>
      </c>
      <c r="AE67" s="7">
        <f>Formulaire!AD54</f>
        <v>0</v>
      </c>
      <c r="AF67" s="7" t="e">
        <f>Formulaire!#REF!</f>
        <v>#REF!</v>
      </c>
      <c r="AG67" s="7">
        <f>Formulaire!AE54</f>
        <v>0</v>
      </c>
      <c r="AH67" s="7">
        <f>Formulaire!AF54</f>
        <v>0</v>
      </c>
    </row>
    <row r="68" spans="1:34" ht="15.75" customHeight="1" x14ac:dyDescent="0.3">
      <c r="A68" s="234"/>
      <c r="B68" s="21" t="s">
        <v>310</v>
      </c>
      <c r="C68" s="7">
        <f>Formulaire!B56</f>
        <v>0</v>
      </c>
      <c r="D68" s="7">
        <f>Formulaire!C56</f>
        <v>0</v>
      </c>
      <c r="E68" s="7">
        <f>Formulaire!D56</f>
        <v>0</v>
      </c>
      <c r="F68" s="7">
        <f>Formulaire!E56</f>
        <v>0</v>
      </c>
      <c r="G68" s="7">
        <f>Formulaire!F56</f>
        <v>0</v>
      </c>
      <c r="H68" s="7">
        <f>Formulaire!G56</f>
        <v>0</v>
      </c>
      <c r="I68" s="7">
        <f>Formulaire!H56</f>
        <v>0</v>
      </c>
      <c r="J68" s="7">
        <f>Formulaire!I56</f>
        <v>0</v>
      </c>
      <c r="K68" s="7">
        <f>Formulaire!J56</f>
        <v>0</v>
      </c>
      <c r="L68" s="7">
        <f>Formulaire!K56</f>
        <v>0</v>
      </c>
      <c r="M68" s="7">
        <f>Formulaire!L56</f>
        <v>0</v>
      </c>
      <c r="N68" s="7">
        <f>Formulaire!M56</f>
        <v>0</v>
      </c>
      <c r="O68" s="7">
        <f>Formulaire!N56</f>
        <v>0</v>
      </c>
      <c r="P68" s="7">
        <f>Formulaire!O56</f>
        <v>0</v>
      </c>
      <c r="Q68" s="7">
        <f>Formulaire!P56</f>
        <v>0</v>
      </c>
      <c r="R68" s="7">
        <f>Formulaire!Q56</f>
        <v>0</v>
      </c>
      <c r="S68" s="7">
        <f>Formulaire!R56</f>
        <v>0</v>
      </c>
      <c r="T68" s="7">
        <f>Formulaire!S56</f>
        <v>0</v>
      </c>
      <c r="U68" s="7">
        <f>Formulaire!T56</f>
        <v>0</v>
      </c>
      <c r="V68" s="7">
        <f>Formulaire!U56</f>
        <v>0</v>
      </c>
      <c r="W68" s="7">
        <f>Formulaire!V56</f>
        <v>0</v>
      </c>
      <c r="X68" s="7">
        <f>Formulaire!W56</f>
        <v>0</v>
      </c>
      <c r="Y68" s="7">
        <f>Formulaire!X56</f>
        <v>0</v>
      </c>
      <c r="Z68" s="7">
        <f>Formulaire!Y56</f>
        <v>0</v>
      </c>
      <c r="AA68" s="7">
        <f>Formulaire!Z56</f>
        <v>0</v>
      </c>
      <c r="AB68" s="7">
        <f>Formulaire!AA56</f>
        <v>0</v>
      </c>
      <c r="AC68" s="7">
        <f>Formulaire!AB56</f>
        <v>0</v>
      </c>
      <c r="AD68" s="7">
        <f>Formulaire!AC56</f>
        <v>0</v>
      </c>
      <c r="AE68" s="7">
        <f>Formulaire!AD56</f>
        <v>0</v>
      </c>
      <c r="AF68" s="7" t="e">
        <f>Formulaire!#REF!</f>
        <v>#REF!</v>
      </c>
      <c r="AG68" s="7">
        <f>Formulaire!AE56</f>
        <v>0</v>
      </c>
      <c r="AH68" s="7">
        <f>Formulaire!AF56</f>
        <v>0</v>
      </c>
    </row>
    <row r="69" spans="1:34" ht="15.75" customHeight="1" x14ac:dyDescent="0.3">
      <c r="A69" s="234"/>
      <c r="B69" s="21" t="s">
        <v>311</v>
      </c>
      <c r="C69" s="7">
        <f>Formulaire!B58</f>
        <v>0</v>
      </c>
      <c r="D69" s="7">
        <f>Formulaire!C58</f>
        <v>0</v>
      </c>
      <c r="E69" s="7">
        <f>Formulaire!D58</f>
        <v>0</v>
      </c>
      <c r="F69" s="7">
        <f>Formulaire!E58</f>
        <v>0</v>
      </c>
      <c r="G69" s="7">
        <f>Formulaire!F58</f>
        <v>0</v>
      </c>
      <c r="H69" s="7">
        <f>Formulaire!G58</f>
        <v>0</v>
      </c>
      <c r="I69" s="7">
        <f>Formulaire!H58</f>
        <v>0</v>
      </c>
      <c r="J69" s="7">
        <f>Formulaire!I58</f>
        <v>0</v>
      </c>
      <c r="K69" s="7">
        <f>Formulaire!J58</f>
        <v>0</v>
      </c>
      <c r="L69" s="7">
        <f>Formulaire!K58</f>
        <v>0</v>
      </c>
      <c r="M69" s="7">
        <f>Formulaire!L58</f>
        <v>0</v>
      </c>
      <c r="N69" s="7">
        <f>Formulaire!M58</f>
        <v>0</v>
      </c>
      <c r="O69" s="7">
        <f>Formulaire!N58</f>
        <v>0</v>
      </c>
      <c r="P69" s="7">
        <f>Formulaire!O58</f>
        <v>0</v>
      </c>
      <c r="Q69" s="7">
        <f>Formulaire!P58</f>
        <v>0</v>
      </c>
      <c r="R69" s="7">
        <f>Formulaire!Q58</f>
        <v>0</v>
      </c>
      <c r="S69" s="7">
        <f>Formulaire!R58</f>
        <v>0</v>
      </c>
      <c r="T69" s="7">
        <f>Formulaire!S58</f>
        <v>0</v>
      </c>
      <c r="U69" s="7">
        <f>Formulaire!T58</f>
        <v>0</v>
      </c>
      <c r="V69" s="7">
        <f>Formulaire!U58</f>
        <v>0</v>
      </c>
      <c r="W69" s="7">
        <f>Formulaire!V58</f>
        <v>0</v>
      </c>
      <c r="X69" s="7">
        <f>Formulaire!W58</f>
        <v>0</v>
      </c>
      <c r="Y69" s="7">
        <f>Formulaire!X58</f>
        <v>0</v>
      </c>
      <c r="Z69" s="7">
        <f>Formulaire!Y58</f>
        <v>0</v>
      </c>
      <c r="AA69" s="7">
        <f>Formulaire!Z58</f>
        <v>0</v>
      </c>
      <c r="AB69" s="7">
        <f>Formulaire!AA58</f>
        <v>0</v>
      </c>
      <c r="AC69" s="7">
        <f>Formulaire!AB58</f>
        <v>0</v>
      </c>
      <c r="AD69" s="7">
        <f>Formulaire!AC58</f>
        <v>0</v>
      </c>
      <c r="AE69" s="7">
        <f>Formulaire!AD58</f>
        <v>0</v>
      </c>
      <c r="AF69" s="7" t="e">
        <f>Formulaire!#REF!</f>
        <v>#REF!</v>
      </c>
      <c r="AG69" s="7">
        <f>Formulaire!AE58</f>
        <v>0</v>
      </c>
      <c r="AH69" s="7">
        <f>Formulaire!AF58</f>
        <v>0</v>
      </c>
    </row>
    <row r="70" spans="1:34" ht="15.75" customHeight="1" x14ac:dyDescent="0.3">
      <c r="A70" s="234"/>
      <c r="B70" s="21" t="s">
        <v>312</v>
      </c>
      <c r="C70" s="7">
        <f>Formulaire!B60</f>
        <v>0</v>
      </c>
      <c r="D70" s="7">
        <f>Formulaire!C60</f>
        <v>0</v>
      </c>
      <c r="E70" s="7">
        <f>Formulaire!D60</f>
        <v>0</v>
      </c>
      <c r="F70" s="7">
        <f>Formulaire!E60</f>
        <v>0</v>
      </c>
      <c r="G70" s="7">
        <f>Formulaire!F60</f>
        <v>0</v>
      </c>
      <c r="H70" s="7">
        <f>Formulaire!G60</f>
        <v>0</v>
      </c>
      <c r="I70" s="7">
        <f>Formulaire!H60</f>
        <v>0</v>
      </c>
      <c r="J70" s="7">
        <f>Formulaire!I60</f>
        <v>0</v>
      </c>
      <c r="K70" s="7">
        <f>Formulaire!J60</f>
        <v>0</v>
      </c>
      <c r="L70" s="7">
        <f>Formulaire!K60</f>
        <v>0</v>
      </c>
      <c r="M70" s="7">
        <f>Formulaire!L60</f>
        <v>0</v>
      </c>
      <c r="N70" s="7">
        <f>Formulaire!M60</f>
        <v>0</v>
      </c>
      <c r="O70" s="7">
        <f>Formulaire!N60</f>
        <v>0</v>
      </c>
      <c r="P70" s="7">
        <f>Formulaire!O60</f>
        <v>0</v>
      </c>
      <c r="Q70" s="7">
        <f>Formulaire!P60</f>
        <v>0</v>
      </c>
      <c r="R70" s="7">
        <f>Formulaire!Q60</f>
        <v>0</v>
      </c>
      <c r="S70" s="7">
        <f>Formulaire!R60</f>
        <v>0</v>
      </c>
      <c r="T70" s="7">
        <f>Formulaire!S60</f>
        <v>0</v>
      </c>
      <c r="U70" s="7">
        <f>Formulaire!T60</f>
        <v>0</v>
      </c>
      <c r="V70" s="7">
        <f>Formulaire!U60</f>
        <v>0</v>
      </c>
      <c r="W70" s="7">
        <f>Formulaire!V60</f>
        <v>0</v>
      </c>
      <c r="X70" s="7">
        <f>Formulaire!W60</f>
        <v>0</v>
      </c>
      <c r="Y70" s="7">
        <f>Formulaire!X60</f>
        <v>0</v>
      </c>
      <c r="Z70" s="7">
        <f>Formulaire!Y60</f>
        <v>0</v>
      </c>
      <c r="AA70" s="7">
        <f>Formulaire!Z60</f>
        <v>0</v>
      </c>
      <c r="AB70" s="7">
        <f>Formulaire!AA60</f>
        <v>0</v>
      </c>
      <c r="AC70" s="7">
        <f>Formulaire!AB60</f>
        <v>0</v>
      </c>
      <c r="AD70" s="7">
        <f>Formulaire!AC60</f>
        <v>0</v>
      </c>
      <c r="AE70" s="7">
        <f>Formulaire!AD60</f>
        <v>0</v>
      </c>
      <c r="AF70" s="7" t="e">
        <f>Formulaire!#REF!</f>
        <v>#REF!</v>
      </c>
      <c r="AG70" s="7">
        <f>Formulaire!AE60</f>
        <v>0</v>
      </c>
      <c r="AH70" s="7">
        <f>Formulaire!AF60</f>
        <v>0</v>
      </c>
    </row>
    <row r="71" spans="1:34" ht="15.75" customHeight="1" x14ac:dyDescent="0.3">
      <c r="A71" s="234"/>
      <c r="B71" s="21" t="s">
        <v>313</v>
      </c>
      <c r="C71" s="7">
        <f>Formulaire!B62</f>
        <v>0</v>
      </c>
      <c r="D71" s="7">
        <f>Formulaire!C62</f>
        <v>0</v>
      </c>
      <c r="E71" s="7">
        <f>Formulaire!D62</f>
        <v>0</v>
      </c>
      <c r="F71" s="7">
        <f>Formulaire!E62</f>
        <v>0</v>
      </c>
      <c r="G71" s="7">
        <f>Formulaire!F62</f>
        <v>0</v>
      </c>
      <c r="H71" s="7">
        <f>Formulaire!G62</f>
        <v>0</v>
      </c>
      <c r="I71" s="7">
        <f>Formulaire!H62</f>
        <v>0</v>
      </c>
      <c r="J71" s="7">
        <f>Formulaire!I62</f>
        <v>0</v>
      </c>
      <c r="K71" s="7">
        <f>Formulaire!J62</f>
        <v>0</v>
      </c>
      <c r="L71" s="7">
        <f>Formulaire!K62</f>
        <v>0</v>
      </c>
      <c r="M71" s="7">
        <f>Formulaire!L62</f>
        <v>0</v>
      </c>
      <c r="N71" s="7">
        <f>Formulaire!M62</f>
        <v>0</v>
      </c>
      <c r="O71" s="7">
        <f>Formulaire!N62</f>
        <v>0</v>
      </c>
      <c r="P71" s="7">
        <f>Formulaire!O62</f>
        <v>0</v>
      </c>
      <c r="Q71" s="7">
        <f>Formulaire!P62</f>
        <v>0</v>
      </c>
      <c r="R71" s="7">
        <f>Formulaire!Q62</f>
        <v>0</v>
      </c>
      <c r="S71" s="7">
        <f>Formulaire!R62</f>
        <v>0</v>
      </c>
      <c r="T71" s="7">
        <f>Formulaire!S62</f>
        <v>0</v>
      </c>
      <c r="U71" s="7">
        <f>Formulaire!T62</f>
        <v>0</v>
      </c>
      <c r="V71" s="7">
        <f>Formulaire!U62</f>
        <v>0</v>
      </c>
      <c r="W71" s="7">
        <f>Formulaire!V62</f>
        <v>0</v>
      </c>
      <c r="X71" s="7">
        <f>Formulaire!W62</f>
        <v>0</v>
      </c>
      <c r="Y71" s="7">
        <f>Formulaire!X62</f>
        <v>0</v>
      </c>
      <c r="Z71" s="7">
        <f>Formulaire!Y62</f>
        <v>0</v>
      </c>
      <c r="AA71" s="7">
        <f>Formulaire!Z62</f>
        <v>0</v>
      </c>
      <c r="AB71" s="7">
        <f>Formulaire!AA62</f>
        <v>0</v>
      </c>
      <c r="AC71" s="7">
        <f>Formulaire!AB62</f>
        <v>0</v>
      </c>
      <c r="AD71" s="7">
        <f>Formulaire!AC62</f>
        <v>0</v>
      </c>
      <c r="AE71" s="7">
        <f>Formulaire!AD62</f>
        <v>0</v>
      </c>
      <c r="AF71" s="7" t="e">
        <f>Formulaire!#REF!</f>
        <v>#REF!</v>
      </c>
      <c r="AG71" s="7">
        <f>Formulaire!AE62</f>
        <v>0</v>
      </c>
      <c r="AH71" s="7">
        <f>Formulaire!AF62</f>
        <v>0</v>
      </c>
    </row>
    <row r="72" spans="1:34" ht="15.75" customHeight="1" x14ac:dyDescent="0.3">
      <c r="A72" s="234"/>
      <c r="B72" s="21" t="s">
        <v>314</v>
      </c>
      <c r="C72" s="7">
        <f>Formulaire!B64</f>
        <v>0</v>
      </c>
      <c r="D72" s="7">
        <f>Formulaire!C64</f>
        <v>0</v>
      </c>
      <c r="E72" s="7">
        <f>Formulaire!D64</f>
        <v>0</v>
      </c>
      <c r="F72" s="7">
        <f>Formulaire!E64</f>
        <v>0</v>
      </c>
      <c r="G72" s="7">
        <f>Formulaire!F64</f>
        <v>0</v>
      </c>
      <c r="H72" s="7">
        <f>Formulaire!G64</f>
        <v>0</v>
      </c>
      <c r="I72" s="7">
        <f>Formulaire!H64</f>
        <v>0</v>
      </c>
      <c r="J72" s="7">
        <f>Formulaire!I64</f>
        <v>0</v>
      </c>
      <c r="K72" s="7">
        <f>Formulaire!J64</f>
        <v>0</v>
      </c>
      <c r="L72" s="7">
        <f>Formulaire!K64</f>
        <v>0</v>
      </c>
      <c r="M72" s="7">
        <f>Formulaire!L64</f>
        <v>0</v>
      </c>
      <c r="N72" s="7">
        <f>Formulaire!M64</f>
        <v>0</v>
      </c>
      <c r="O72" s="7">
        <f>Formulaire!N64</f>
        <v>0</v>
      </c>
      <c r="P72" s="7">
        <f>Formulaire!O64</f>
        <v>0</v>
      </c>
      <c r="Q72" s="7">
        <f>Formulaire!P64</f>
        <v>0</v>
      </c>
      <c r="R72" s="7">
        <f>Formulaire!Q64</f>
        <v>0</v>
      </c>
      <c r="S72" s="7">
        <f>Formulaire!R64</f>
        <v>0</v>
      </c>
      <c r="T72" s="7">
        <f>Formulaire!S64</f>
        <v>0</v>
      </c>
      <c r="U72" s="7">
        <f>Formulaire!T64</f>
        <v>0</v>
      </c>
      <c r="V72" s="7">
        <f>Formulaire!U64</f>
        <v>0</v>
      </c>
      <c r="W72" s="7">
        <f>Formulaire!V64</f>
        <v>0</v>
      </c>
      <c r="X72" s="7">
        <f>Formulaire!W64</f>
        <v>0</v>
      </c>
      <c r="Y72" s="7">
        <f>Formulaire!X64</f>
        <v>0</v>
      </c>
      <c r="Z72" s="7">
        <f>Formulaire!Y64</f>
        <v>0</v>
      </c>
      <c r="AA72" s="7">
        <f>Formulaire!Z64</f>
        <v>0</v>
      </c>
      <c r="AB72" s="7">
        <f>Formulaire!AA64</f>
        <v>0</v>
      </c>
      <c r="AC72" s="7">
        <f>Formulaire!AB64</f>
        <v>0</v>
      </c>
      <c r="AD72" s="7">
        <f>Formulaire!AC64</f>
        <v>0</v>
      </c>
      <c r="AE72" s="7">
        <f>Formulaire!AD64</f>
        <v>0</v>
      </c>
      <c r="AF72" s="7" t="e">
        <f>Formulaire!#REF!</f>
        <v>#REF!</v>
      </c>
      <c r="AG72" s="7">
        <f>Formulaire!AE64</f>
        <v>0</v>
      </c>
      <c r="AH72" s="7">
        <f>Formulaire!AF64</f>
        <v>0</v>
      </c>
    </row>
    <row r="73" spans="1:34" ht="15.75" customHeight="1" x14ac:dyDescent="0.3">
      <c r="A73" s="234"/>
      <c r="B73" s="21" t="s">
        <v>315</v>
      </c>
      <c r="C73" s="7">
        <f>Formulaire!B66</f>
        <v>0</v>
      </c>
      <c r="D73" s="7">
        <f>Formulaire!C66</f>
        <v>0</v>
      </c>
      <c r="E73" s="7">
        <f>Formulaire!D66</f>
        <v>0</v>
      </c>
      <c r="F73" s="7">
        <f>Formulaire!E66</f>
        <v>0</v>
      </c>
      <c r="G73" s="7">
        <f>Formulaire!F66</f>
        <v>0</v>
      </c>
      <c r="H73" s="7">
        <f>Formulaire!G66</f>
        <v>0</v>
      </c>
      <c r="I73" s="7">
        <f>Formulaire!H66</f>
        <v>0</v>
      </c>
      <c r="J73" s="7">
        <f>Formulaire!I66</f>
        <v>0</v>
      </c>
      <c r="K73" s="7">
        <f>Formulaire!J66</f>
        <v>0</v>
      </c>
      <c r="L73" s="7">
        <f>Formulaire!K66</f>
        <v>0</v>
      </c>
      <c r="M73" s="7">
        <f>Formulaire!L66</f>
        <v>0</v>
      </c>
      <c r="N73" s="7">
        <f>Formulaire!M66</f>
        <v>0</v>
      </c>
      <c r="O73" s="7">
        <f>Formulaire!N66</f>
        <v>0</v>
      </c>
      <c r="P73" s="7">
        <f>Formulaire!O66</f>
        <v>0</v>
      </c>
      <c r="Q73" s="7">
        <f>Formulaire!P66</f>
        <v>0</v>
      </c>
      <c r="R73" s="7">
        <f>Formulaire!Q66</f>
        <v>0</v>
      </c>
      <c r="S73" s="7">
        <f>Formulaire!R66</f>
        <v>0</v>
      </c>
      <c r="T73" s="7">
        <f>Formulaire!S66</f>
        <v>0</v>
      </c>
      <c r="U73" s="7">
        <f>Formulaire!T66</f>
        <v>0</v>
      </c>
      <c r="V73" s="7">
        <f>Formulaire!U66</f>
        <v>0</v>
      </c>
      <c r="W73" s="7">
        <f>Formulaire!V66</f>
        <v>0</v>
      </c>
      <c r="X73" s="7">
        <f>Formulaire!W66</f>
        <v>0</v>
      </c>
      <c r="Y73" s="7">
        <f>Formulaire!X66</f>
        <v>0</v>
      </c>
      <c r="Z73" s="7">
        <f>Formulaire!Y66</f>
        <v>0</v>
      </c>
      <c r="AA73" s="7">
        <f>Formulaire!Z66</f>
        <v>0</v>
      </c>
      <c r="AB73" s="7">
        <f>Formulaire!AA66</f>
        <v>0</v>
      </c>
      <c r="AC73" s="7">
        <f>Formulaire!AB66</f>
        <v>0</v>
      </c>
      <c r="AD73" s="7">
        <f>Formulaire!AC66</f>
        <v>0</v>
      </c>
      <c r="AE73" s="7">
        <f>Formulaire!AD66</f>
        <v>0</v>
      </c>
      <c r="AF73" s="7" t="e">
        <f>Formulaire!#REF!</f>
        <v>#REF!</v>
      </c>
      <c r="AG73" s="7">
        <f>Formulaire!AE66</f>
        <v>0</v>
      </c>
      <c r="AH73" s="7">
        <f>Formulaire!AF66</f>
        <v>0</v>
      </c>
    </row>
    <row r="74" spans="1:34" ht="15.75" customHeight="1" x14ac:dyDescent="0.3">
      <c r="A74" s="234"/>
      <c r="B74" s="21" t="s">
        <v>316</v>
      </c>
      <c r="C74" s="7">
        <f>Formulaire!B68</f>
        <v>0</v>
      </c>
      <c r="D74" s="7">
        <f>Formulaire!C68</f>
        <v>0</v>
      </c>
      <c r="E74" s="7">
        <f>Formulaire!D68</f>
        <v>0</v>
      </c>
      <c r="F74" s="7">
        <f>Formulaire!E68</f>
        <v>0</v>
      </c>
      <c r="G74" s="7">
        <f>Formulaire!F68</f>
        <v>0</v>
      </c>
      <c r="H74" s="7">
        <f>Formulaire!G68</f>
        <v>0</v>
      </c>
      <c r="I74" s="7">
        <f>Formulaire!H68</f>
        <v>0</v>
      </c>
      <c r="J74" s="7">
        <f>Formulaire!I68</f>
        <v>0</v>
      </c>
      <c r="K74" s="7">
        <f>Formulaire!J68</f>
        <v>0</v>
      </c>
      <c r="L74" s="7">
        <f>Formulaire!K68</f>
        <v>0</v>
      </c>
      <c r="M74" s="7">
        <f>Formulaire!L68</f>
        <v>0</v>
      </c>
      <c r="N74" s="7">
        <f>Formulaire!M68</f>
        <v>0</v>
      </c>
      <c r="O74" s="7">
        <f>Formulaire!N68</f>
        <v>0</v>
      </c>
      <c r="P74" s="7">
        <f>Formulaire!O68</f>
        <v>0</v>
      </c>
      <c r="Q74" s="7">
        <f>Formulaire!P68</f>
        <v>0</v>
      </c>
      <c r="R74" s="7">
        <f>Formulaire!Q68</f>
        <v>0</v>
      </c>
      <c r="S74" s="7">
        <f>Formulaire!R68</f>
        <v>0</v>
      </c>
      <c r="T74" s="7">
        <f>Formulaire!S68</f>
        <v>0</v>
      </c>
      <c r="U74" s="7">
        <f>Formulaire!T68</f>
        <v>0</v>
      </c>
      <c r="V74" s="7">
        <f>Formulaire!U68</f>
        <v>0</v>
      </c>
      <c r="W74" s="7">
        <f>Formulaire!V68</f>
        <v>0</v>
      </c>
      <c r="X74" s="7">
        <f>Formulaire!W68</f>
        <v>0</v>
      </c>
      <c r="Y74" s="7">
        <f>Formulaire!X68</f>
        <v>0</v>
      </c>
      <c r="Z74" s="7">
        <f>Formulaire!Y68</f>
        <v>0</v>
      </c>
      <c r="AA74" s="7">
        <f>Formulaire!Z68</f>
        <v>0</v>
      </c>
      <c r="AB74" s="7">
        <f>Formulaire!AA68</f>
        <v>0</v>
      </c>
      <c r="AC74" s="7">
        <f>Formulaire!AB68</f>
        <v>0</v>
      </c>
      <c r="AD74" s="7">
        <f>Formulaire!AC68</f>
        <v>0</v>
      </c>
      <c r="AE74" s="7">
        <f>Formulaire!AD68</f>
        <v>0</v>
      </c>
      <c r="AF74" s="7" t="e">
        <f>Formulaire!#REF!</f>
        <v>#REF!</v>
      </c>
      <c r="AG74" s="7">
        <f>Formulaire!AE68</f>
        <v>0</v>
      </c>
      <c r="AH74" s="7">
        <f>Formulaire!AF68</f>
        <v>0</v>
      </c>
    </row>
    <row r="75" spans="1:34" ht="15.75" customHeight="1" x14ac:dyDescent="0.3">
      <c r="A75" s="234"/>
      <c r="B75" s="21" t="s">
        <v>317</v>
      </c>
      <c r="C75" s="7">
        <f>Formulaire!B70</f>
        <v>0</v>
      </c>
      <c r="D75" s="7">
        <f>Formulaire!C70</f>
        <v>0</v>
      </c>
      <c r="E75" s="7">
        <f>Formulaire!D70</f>
        <v>0</v>
      </c>
      <c r="F75" s="7">
        <f>Formulaire!E70</f>
        <v>0</v>
      </c>
      <c r="G75" s="7">
        <f>Formulaire!F70</f>
        <v>0</v>
      </c>
      <c r="H75" s="7">
        <f>Formulaire!G70</f>
        <v>0</v>
      </c>
      <c r="I75" s="7">
        <f>Formulaire!H70</f>
        <v>0</v>
      </c>
      <c r="J75" s="7">
        <f>Formulaire!I70</f>
        <v>0</v>
      </c>
      <c r="K75" s="7">
        <f>Formulaire!J70</f>
        <v>0</v>
      </c>
      <c r="L75" s="7">
        <f>Formulaire!K70</f>
        <v>0</v>
      </c>
      <c r="M75" s="7">
        <f>Formulaire!L70</f>
        <v>0</v>
      </c>
      <c r="N75" s="7">
        <f>Formulaire!M70</f>
        <v>0</v>
      </c>
      <c r="O75" s="7">
        <f>Formulaire!N70</f>
        <v>0</v>
      </c>
      <c r="P75" s="7">
        <f>Formulaire!O70</f>
        <v>0</v>
      </c>
      <c r="Q75" s="7">
        <f>Formulaire!P70</f>
        <v>0</v>
      </c>
      <c r="R75" s="7">
        <f>Formulaire!Q70</f>
        <v>0</v>
      </c>
      <c r="S75" s="7">
        <f>Formulaire!R70</f>
        <v>0</v>
      </c>
      <c r="T75" s="7">
        <f>Formulaire!S70</f>
        <v>0</v>
      </c>
      <c r="U75" s="7">
        <f>Formulaire!T70</f>
        <v>0</v>
      </c>
      <c r="V75" s="7">
        <f>Formulaire!U70</f>
        <v>0</v>
      </c>
      <c r="W75" s="7">
        <f>Formulaire!V70</f>
        <v>0</v>
      </c>
      <c r="X75" s="7">
        <f>Formulaire!W70</f>
        <v>0</v>
      </c>
      <c r="Y75" s="7">
        <f>Formulaire!X70</f>
        <v>0</v>
      </c>
      <c r="Z75" s="7">
        <f>Formulaire!Y70</f>
        <v>0</v>
      </c>
      <c r="AA75" s="7">
        <f>Formulaire!Z70</f>
        <v>0</v>
      </c>
      <c r="AB75" s="7">
        <f>Formulaire!AA70</f>
        <v>0</v>
      </c>
      <c r="AC75" s="7">
        <f>Formulaire!AB70</f>
        <v>0</v>
      </c>
      <c r="AD75" s="7">
        <f>Formulaire!AC70</f>
        <v>0</v>
      </c>
      <c r="AE75" s="7">
        <f>Formulaire!AD70</f>
        <v>0</v>
      </c>
      <c r="AF75" s="7" t="e">
        <f>Formulaire!#REF!</f>
        <v>#REF!</v>
      </c>
      <c r="AG75" s="7">
        <f>Formulaire!AE70</f>
        <v>0</v>
      </c>
      <c r="AH75" s="7">
        <f>Formulaire!AF70</f>
        <v>0</v>
      </c>
    </row>
    <row r="76" spans="1:34" ht="15.75" customHeight="1" x14ac:dyDescent="0.3">
      <c r="A76" s="234"/>
      <c r="B76" s="21" t="s">
        <v>318</v>
      </c>
      <c r="C76" s="7">
        <f>Formulaire!B72</f>
        <v>0</v>
      </c>
      <c r="D76" s="7">
        <f>Formulaire!C72</f>
        <v>0</v>
      </c>
      <c r="E76" s="7">
        <f>Formulaire!D72</f>
        <v>0</v>
      </c>
      <c r="F76" s="7">
        <f>Formulaire!E72</f>
        <v>0</v>
      </c>
      <c r="G76" s="7">
        <f>Formulaire!F72</f>
        <v>0</v>
      </c>
      <c r="H76" s="7">
        <f>Formulaire!G72</f>
        <v>0</v>
      </c>
      <c r="I76" s="7">
        <f>Formulaire!H72</f>
        <v>0</v>
      </c>
      <c r="J76" s="7">
        <f>Formulaire!I72</f>
        <v>0</v>
      </c>
      <c r="K76" s="7">
        <f>Formulaire!J72</f>
        <v>0</v>
      </c>
      <c r="L76" s="7">
        <f>Formulaire!K72</f>
        <v>0</v>
      </c>
      <c r="M76" s="7">
        <f>Formulaire!L72</f>
        <v>0</v>
      </c>
      <c r="N76" s="7">
        <f>Formulaire!M72</f>
        <v>0</v>
      </c>
      <c r="O76" s="7">
        <f>Formulaire!N72</f>
        <v>0</v>
      </c>
      <c r="P76" s="7">
        <f>Formulaire!O72</f>
        <v>0</v>
      </c>
      <c r="Q76" s="7">
        <f>Formulaire!P72</f>
        <v>0</v>
      </c>
      <c r="R76" s="7">
        <f>Formulaire!Q72</f>
        <v>0</v>
      </c>
      <c r="S76" s="7">
        <f>Formulaire!R72</f>
        <v>0</v>
      </c>
      <c r="T76" s="7">
        <f>Formulaire!S72</f>
        <v>0</v>
      </c>
      <c r="U76" s="7">
        <f>Formulaire!T72</f>
        <v>0</v>
      </c>
      <c r="V76" s="7">
        <f>Formulaire!U72</f>
        <v>0</v>
      </c>
      <c r="W76" s="7">
        <f>Formulaire!V72</f>
        <v>0</v>
      </c>
      <c r="X76" s="7">
        <f>Formulaire!W72</f>
        <v>0</v>
      </c>
      <c r="Y76" s="7">
        <f>Formulaire!X72</f>
        <v>0</v>
      </c>
      <c r="Z76" s="7">
        <f>Formulaire!Y72</f>
        <v>0</v>
      </c>
      <c r="AA76" s="7">
        <f>Formulaire!Z72</f>
        <v>0</v>
      </c>
      <c r="AB76" s="7">
        <f>Formulaire!AA72</f>
        <v>0</v>
      </c>
      <c r="AC76" s="7">
        <f>Formulaire!AB72</f>
        <v>0</v>
      </c>
      <c r="AD76" s="7">
        <f>Formulaire!AC72</f>
        <v>0</v>
      </c>
      <c r="AE76" s="7">
        <f>Formulaire!AD72</f>
        <v>0</v>
      </c>
      <c r="AF76" s="7" t="e">
        <f>Formulaire!#REF!</f>
        <v>#REF!</v>
      </c>
      <c r="AG76" s="7">
        <f>Formulaire!AE72</f>
        <v>0</v>
      </c>
      <c r="AH76" s="7">
        <f>Formulaire!AF72</f>
        <v>0</v>
      </c>
    </row>
    <row r="77" spans="1:34" ht="15.75" customHeight="1" x14ac:dyDescent="0.3">
      <c r="A77" s="234"/>
      <c r="B77" s="21" t="s">
        <v>319</v>
      </c>
      <c r="C77" s="7">
        <f>Formulaire!B74</f>
        <v>0</v>
      </c>
      <c r="D77" s="7">
        <f>Formulaire!C74</f>
        <v>0</v>
      </c>
      <c r="E77" s="7">
        <f>Formulaire!D74</f>
        <v>0</v>
      </c>
      <c r="F77" s="7">
        <f>Formulaire!E74</f>
        <v>0</v>
      </c>
      <c r="G77" s="7">
        <f>Formulaire!F74</f>
        <v>0</v>
      </c>
      <c r="H77" s="7">
        <f>Formulaire!G74</f>
        <v>0</v>
      </c>
      <c r="I77" s="7">
        <f>Formulaire!H74</f>
        <v>0</v>
      </c>
      <c r="J77" s="7">
        <f>Formulaire!I74</f>
        <v>0</v>
      </c>
      <c r="K77" s="7">
        <f>Formulaire!J74</f>
        <v>0</v>
      </c>
      <c r="L77" s="7">
        <f>Formulaire!K74</f>
        <v>0</v>
      </c>
      <c r="M77" s="7">
        <f>Formulaire!L74</f>
        <v>0</v>
      </c>
      <c r="N77" s="7">
        <f>Formulaire!M74</f>
        <v>0</v>
      </c>
      <c r="O77" s="7">
        <f>Formulaire!N74</f>
        <v>0</v>
      </c>
      <c r="P77" s="7">
        <f>Formulaire!O74</f>
        <v>0</v>
      </c>
      <c r="Q77" s="7">
        <f>Formulaire!P74</f>
        <v>0</v>
      </c>
      <c r="R77" s="7">
        <f>Formulaire!Q74</f>
        <v>0</v>
      </c>
      <c r="S77" s="7">
        <f>Formulaire!R74</f>
        <v>0</v>
      </c>
      <c r="T77" s="7">
        <f>Formulaire!S74</f>
        <v>0</v>
      </c>
      <c r="U77" s="7">
        <f>Formulaire!T74</f>
        <v>0</v>
      </c>
      <c r="V77" s="7">
        <f>Formulaire!U74</f>
        <v>0</v>
      </c>
      <c r="W77" s="7">
        <f>Formulaire!V74</f>
        <v>0</v>
      </c>
      <c r="X77" s="7">
        <f>Formulaire!W74</f>
        <v>0</v>
      </c>
      <c r="Y77" s="7">
        <f>Formulaire!X74</f>
        <v>0</v>
      </c>
      <c r="Z77" s="7">
        <f>Formulaire!Y74</f>
        <v>0</v>
      </c>
      <c r="AA77" s="7">
        <f>Formulaire!Z74</f>
        <v>0</v>
      </c>
      <c r="AB77" s="7">
        <f>Formulaire!AA74</f>
        <v>0</v>
      </c>
      <c r="AC77" s="7">
        <f>Formulaire!AB74</f>
        <v>0</v>
      </c>
      <c r="AD77" s="7">
        <f>Formulaire!AC74</f>
        <v>0</v>
      </c>
      <c r="AE77" s="7">
        <f>Formulaire!AD74</f>
        <v>0</v>
      </c>
      <c r="AF77" s="7" t="e">
        <f>Formulaire!#REF!</f>
        <v>#REF!</v>
      </c>
      <c r="AG77" s="7">
        <f>Formulaire!AE74</f>
        <v>0</v>
      </c>
      <c r="AH77" s="7">
        <f>Formulaire!AF74</f>
        <v>0</v>
      </c>
    </row>
    <row r="78" spans="1:34" ht="15.75" customHeight="1" x14ac:dyDescent="0.3">
      <c r="A78" s="234"/>
      <c r="B78" s="21" t="s">
        <v>320</v>
      </c>
      <c r="C78" s="7">
        <f>Formulaire!B76</f>
        <v>0</v>
      </c>
      <c r="D78" s="7">
        <f>Formulaire!C76</f>
        <v>0</v>
      </c>
      <c r="E78" s="7">
        <f>Formulaire!D76</f>
        <v>0</v>
      </c>
      <c r="F78" s="7">
        <f>Formulaire!E76</f>
        <v>0</v>
      </c>
      <c r="G78" s="7">
        <f>Formulaire!F76</f>
        <v>0</v>
      </c>
      <c r="H78" s="7">
        <f>Formulaire!G76</f>
        <v>0</v>
      </c>
      <c r="I78" s="7">
        <f>Formulaire!H76</f>
        <v>0</v>
      </c>
      <c r="J78" s="7">
        <f>Formulaire!I76</f>
        <v>0</v>
      </c>
      <c r="K78" s="7">
        <f>Formulaire!J76</f>
        <v>0</v>
      </c>
      <c r="L78" s="7">
        <f>Formulaire!K76</f>
        <v>0</v>
      </c>
      <c r="M78" s="7">
        <f>Formulaire!L76</f>
        <v>0</v>
      </c>
      <c r="N78" s="7">
        <f>Formulaire!M76</f>
        <v>0</v>
      </c>
      <c r="O78" s="7">
        <f>Formulaire!N76</f>
        <v>0</v>
      </c>
      <c r="P78" s="7">
        <f>Formulaire!O76</f>
        <v>0</v>
      </c>
      <c r="Q78" s="7">
        <f>Formulaire!P76</f>
        <v>0</v>
      </c>
      <c r="R78" s="7">
        <f>Formulaire!Q76</f>
        <v>0</v>
      </c>
      <c r="S78" s="7">
        <f>Formulaire!R76</f>
        <v>0</v>
      </c>
      <c r="T78" s="7">
        <f>Formulaire!S76</f>
        <v>0</v>
      </c>
      <c r="U78" s="7">
        <f>Formulaire!T76</f>
        <v>0</v>
      </c>
      <c r="V78" s="7">
        <f>Formulaire!U76</f>
        <v>0</v>
      </c>
      <c r="W78" s="7">
        <f>Formulaire!V76</f>
        <v>0</v>
      </c>
      <c r="X78" s="7">
        <f>Formulaire!W76</f>
        <v>0</v>
      </c>
      <c r="Y78" s="7">
        <f>Formulaire!X76</f>
        <v>0</v>
      </c>
      <c r="Z78" s="7">
        <f>Formulaire!Y76</f>
        <v>0</v>
      </c>
      <c r="AA78" s="7">
        <f>Formulaire!Z76</f>
        <v>0</v>
      </c>
      <c r="AB78" s="7">
        <f>Formulaire!AA76</f>
        <v>0</v>
      </c>
      <c r="AC78" s="7">
        <f>Formulaire!AB76</f>
        <v>0</v>
      </c>
      <c r="AD78" s="7">
        <f>Formulaire!AC76</f>
        <v>0</v>
      </c>
      <c r="AE78" s="7">
        <f>Formulaire!AD76</f>
        <v>0</v>
      </c>
      <c r="AF78" s="7" t="e">
        <f>Formulaire!#REF!</f>
        <v>#REF!</v>
      </c>
      <c r="AG78" s="7">
        <f>Formulaire!AE76</f>
        <v>0</v>
      </c>
      <c r="AH78" s="7">
        <f>Formulaire!AF76</f>
        <v>0</v>
      </c>
    </row>
    <row r="79" spans="1:34" ht="15.75" customHeight="1" x14ac:dyDescent="0.3">
      <c r="A79" s="234"/>
      <c r="B79" s="21" t="s">
        <v>321</v>
      </c>
      <c r="C79" s="7">
        <f>Formulaire!B78</f>
        <v>0</v>
      </c>
      <c r="D79" s="7">
        <f>Formulaire!C78</f>
        <v>0</v>
      </c>
      <c r="E79" s="7">
        <f>Formulaire!D78</f>
        <v>0</v>
      </c>
      <c r="F79" s="7">
        <f>Formulaire!E78</f>
        <v>0</v>
      </c>
      <c r="G79" s="7">
        <f>Formulaire!F78</f>
        <v>0</v>
      </c>
      <c r="H79" s="7">
        <f>Formulaire!G78</f>
        <v>0</v>
      </c>
      <c r="I79" s="7">
        <f>Formulaire!H78</f>
        <v>0</v>
      </c>
      <c r="J79" s="7">
        <f>Formulaire!I78</f>
        <v>0</v>
      </c>
      <c r="K79" s="7">
        <f>Formulaire!J78</f>
        <v>0</v>
      </c>
      <c r="L79" s="7">
        <f>Formulaire!K78</f>
        <v>0</v>
      </c>
      <c r="M79" s="7">
        <f>Formulaire!L78</f>
        <v>0</v>
      </c>
      <c r="N79" s="7">
        <f>Formulaire!M78</f>
        <v>0</v>
      </c>
      <c r="O79" s="7">
        <f>Formulaire!N78</f>
        <v>0</v>
      </c>
      <c r="P79" s="7">
        <f>Formulaire!O78</f>
        <v>0</v>
      </c>
      <c r="Q79" s="7">
        <f>Formulaire!P78</f>
        <v>0</v>
      </c>
      <c r="R79" s="7">
        <f>Formulaire!Q78</f>
        <v>0</v>
      </c>
      <c r="S79" s="7">
        <f>Formulaire!R78</f>
        <v>0</v>
      </c>
      <c r="T79" s="7">
        <f>Formulaire!S78</f>
        <v>0</v>
      </c>
      <c r="U79" s="7">
        <f>Formulaire!T78</f>
        <v>0</v>
      </c>
      <c r="V79" s="7">
        <f>Formulaire!U78</f>
        <v>0</v>
      </c>
      <c r="W79" s="7">
        <f>Formulaire!V78</f>
        <v>0</v>
      </c>
      <c r="X79" s="7">
        <f>Formulaire!W78</f>
        <v>0</v>
      </c>
      <c r="Y79" s="7">
        <f>Formulaire!X78</f>
        <v>0</v>
      </c>
      <c r="Z79" s="7">
        <f>Formulaire!Y78</f>
        <v>0</v>
      </c>
      <c r="AA79" s="7">
        <f>Formulaire!Z78</f>
        <v>0</v>
      </c>
      <c r="AB79" s="7">
        <f>Formulaire!AA78</f>
        <v>0</v>
      </c>
      <c r="AC79" s="7">
        <f>Formulaire!AB78</f>
        <v>0</v>
      </c>
      <c r="AD79" s="7">
        <f>Formulaire!AC78</f>
        <v>0</v>
      </c>
      <c r="AE79" s="7">
        <f>Formulaire!AD78</f>
        <v>0</v>
      </c>
      <c r="AF79" s="7" t="e">
        <f>Formulaire!#REF!</f>
        <v>#REF!</v>
      </c>
      <c r="AG79" s="7">
        <f>Formulaire!AE78</f>
        <v>0</v>
      </c>
      <c r="AH79" s="7">
        <f>Formulaire!AF78</f>
        <v>0</v>
      </c>
    </row>
    <row r="80" spans="1:34" ht="15.75" customHeight="1" x14ac:dyDescent="0.3">
      <c r="A80" s="234"/>
      <c r="B80" s="21" t="s">
        <v>322</v>
      </c>
      <c r="C80" s="7">
        <f>Formulaire!B80</f>
        <v>0</v>
      </c>
      <c r="D80" s="7">
        <f>Formulaire!C80</f>
        <v>0</v>
      </c>
      <c r="E80" s="7">
        <f>Formulaire!D80</f>
        <v>0</v>
      </c>
      <c r="F80" s="7">
        <f>Formulaire!E80</f>
        <v>0</v>
      </c>
      <c r="G80" s="7">
        <f>Formulaire!F80</f>
        <v>0</v>
      </c>
      <c r="H80" s="7">
        <f>Formulaire!G80</f>
        <v>0</v>
      </c>
      <c r="I80" s="7">
        <f>Formulaire!H80</f>
        <v>0</v>
      </c>
      <c r="J80" s="7">
        <f>Formulaire!I80</f>
        <v>0</v>
      </c>
      <c r="K80" s="7">
        <f>Formulaire!J80</f>
        <v>0</v>
      </c>
      <c r="L80" s="7">
        <f>Formulaire!K80</f>
        <v>0</v>
      </c>
      <c r="M80" s="7">
        <f>Formulaire!L80</f>
        <v>0</v>
      </c>
      <c r="N80" s="7">
        <f>Formulaire!M80</f>
        <v>0</v>
      </c>
      <c r="O80" s="7">
        <f>Formulaire!N80</f>
        <v>0</v>
      </c>
      <c r="P80" s="7">
        <f>Formulaire!O80</f>
        <v>0</v>
      </c>
      <c r="Q80" s="7">
        <f>Formulaire!P80</f>
        <v>0</v>
      </c>
      <c r="R80" s="7">
        <f>Formulaire!Q80</f>
        <v>0</v>
      </c>
      <c r="S80" s="7">
        <f>Formulaire!R80</f>
        <v>0</v>
      </c>
      <c r="T80" s="7">
        <f>Formulaire!S80</f>
        <v>0</v>
      </c>
      <c r="U80" s="7">
        <f>Formulaire!T80</f>
        <v>0</v>
      </c>
      <c r="V80" s="7">
        <f>Formulaire!U80</f>
        <v>0</v>
      </c>
      <c r="W80" s="7">
        <f>Formulaire!V80</f>
        <v>0</v>
      </c>
      <c r="X80" s="7">
        <f>Formulaire!W80</f>
        <v>0</v>
      </c>
      <c r="Y80" s="7">
        <f>Formulaire!X80</f>
        <v>0</v>
      </c>
      <c r="Z80" s="7">
        <f>Formulaire!Y80</f>
        <v>0</v>
      </c>
      <c r="AA80" s="7">
        <f>Formulaire!Z80</f>
        <v>0</v>
      </c>
      <c r="AB80" s="7">
        <f>Formulaire!AA80</f>
        <v>0</v>
      </c>
      <c r="AC80" s="7">
        <f>Formulaire!AB80</f>
        <v>0</v>
      </c>
      <c r="AD80" s="7">
        <f>Formulaire!AC80</f>
        <v>0</v>
      </c>
      <c r="AE80" s="7">
        <f>Formulaire!AD80</f>
        <v>0</v>
      </c>
      <c r="AF80" s="7" t="e">
        <f>Formulaire!#REF!</f>
        <v>#REF!</v>
      </c>
      <c r="AG80" s="7">
        <f>Formulaire!AE80</f>
        <v>0</v>
      </c>
      <c r="AH80" s="7">
        <f>Formulaire!AF80</f>
        <v>0</v>
      </c>
    </row>
    <row r="81" spans="1:34" ht="15.75" customHeight="1" x14ac:dyDescent="0.3">
      <c r="A81" s="234"/>
      <c r="B81" s="21" t="s">
        <v>323</v>
      </c>
      <c r="C81" s="7">
        <f>Formulaire!B82</f>
        <v>0</v>
      </c>
      <c r="D81" s="7">
        <f>Formulaire!C82</f>
        <v>0</v>
      </c>
      <c r="E81" s="7">
        <f>Formulaire!D82</f>
        <v>0</v>
      </c>
      <c r="F81" s="7">
        <f>Formulaire!E82</f>
        <v>0</v>
      </c>
      <c r="G81" s="7">
        <f>Formulaire!F82</f>
        <v>0</v>
      </c>
      <c r="H81" s="7">
        <f>Formulaire!G82</f>
        <v>0</v>
      </c>
      <c r="I81" s="7">
        <f>Formulaire!H82</f>
        <v>0</v>
      </c>
      <c r="J81" s="7">
        <f>Formulaire!I82</f>
        <v>0</v>
      </c>
      <c r="K81" s="7">
        <f>Formulaire!J82</f>
        <v>0</v>
      </c>
      <c r="L81" s="7">
        <f>Formulaire!K82</f>
        <v>0</v>
      </c>
      <c r="M81" s="7">
        <f>Formulaire!L82</f>
        <v>0</v>
      </c>
      <c r="N81" s="7">
        <f>Formulaire!M82</f>
        <v>0</v>
      </c>
      <c r="O81" s="7">
        <f>Formulaire!N82</f>
        <v>0</v>
      </c>
      <c r="P81" s="7">
        <f>Formulaire!O82</f>
        <v>0</v>
      </c>
      <c r="Q81" s="7">
        <f>Formulaire!P82</f>
        <v>0</v>
      </c>
      <c r="R81" s="7">
        <f>Formulaire!Q82</f>
        <v>0</v>
      </c>
      <c r="S81" s="7">
        <f>Formulaire!R82</f>
        <v>0</v>
      </c>
      <c r="T81" s="7">
        <f>Formulaire!S82</f>
        <v>0</v>
      </c>
      <c r="U81" s="7">
        <f>Formulaire!T82</f>
        <v>0</v>
      </c>
      <c r="V81" s="7">
        <f>Formulaire!U82</f>
        <v>0</v>
      </c>
      <c r="W81" s="7">
        <f>Formulaire!V82</f>
        <v>0</v>
      </c>
      <c r="X81" s="7">
        <f>Formulaire!W82</f>
        <v>0</v>
      </c>
      <c r="Y81" s="7">
        <f>Formulaire!X82</f>
        <v>0</v>
      </c>
      <c r="Z81" s="7">
        <f>Formulaire!Y82</f>
        <v>0</v>
      </c>
      <c r="AA81" s="7">
        <f>Formulaire!Z82</f>
        <v>0</v>
      </c>
      <c r="AB81" s="7">
        <f>Formulaire!AA82</f>
        <v>0</v>
      </c>
      <c r="AC81" s="7">
        <f>Formulaire!AB82</f>
        <v>0</v>
      </c>
      <c r="AD81" s="7">
        <f>Formulaire!AC82</f>
        <v>0</v>
      </c>
      <c r="AE81" s="7">
        <f>Formulaire!AD82</f>
        <v>0</v>
      </c>
      <c r="AF81" s="7" t="e">
        <f>Formulaire!#REF!</f>
        <v>#REF!</v>
      </c>
      <c r="AG81" s="7">
        <f>Formulaire!AE82</f>
        <v>0</v>
      </c>
      <c r="AH81" s="7">
        <f>Formulaire!AF82</f>
        <v>0</v>
      </c>
    </row>
    <row r="82" spans="1:34" ht="15.75" customHeight="1" x14ac:dyDescent="0.3">
      <c r="A82" s="234"/>
      <c r="B82" s="21" t="s">
        <v>324</v>
      </c>
      <c r="C82" s="7">
        <f>Formulaire!B84</f>
        <v>0</v>
      </c>
      <c r="D82" s="7">
        <f>Formulaire!C84</f>
        <v>0</v>
      </c>
      <c r="E82" s="7">
        <f>Formulaire!D84</f>
        <v>0</v>
      </c>
      <c r="F82" s="7">
        <f>Formulaire!E84</f>
        <v>0</v>
      </c>
      <c r="G82" s="7">
        <f>Formulaire!F84</f>
        <v>0</v>
      </c>
      <c r="H82" s="7">
        <f>Formulaire!G84</f>
        <v>0</v>
      </c>
      <c r="I82" s="7">
        <f>Formulaire!H84</f>
        <v>0</v>
      </c>
      <c r="J82" s="7">
        <f>Formulaire!I84</f>
        <v>0</v>
      </c>
      <c r="K82" s="7">
        <f>Formulaire!J84</f>
        <v>0</v>
      </c>
      <c r="L82" s="7">
        <f>Formulaire!K84</f>
        <v>0</v>
      </c>
      <c r="M82" s="7">
        <f>Formulaire!L84</f>
        <v>0</v>
      </c>
      <c r="N82" s="7">
        <f>Formulaire!M84</f>
        <v>0</v>
      </c>
      <c r="O82" s="7">
        <f>Formulaire!N84</f>
        <v>0</v>
      </c>
      <c r="P82" s="7">
        <f>Formulaire!O84</f>
        <v>0</v>
      </c>
      <c r="Q82" s="7">
        <f>Formulaire!P84</f>
        <v>0</v>
      </c>
      <c r="R82" s="7">
        <f>Formulaire!Q84</f>
        <v>0</v>
      </c>
      <c r="S82" s="7">
        <f>Formulaire!R84</f>
        <v>0</v>
      </c>
      <c r="T82" s="7">
        <f>Formulaire!S84</f>
        <v>0</v>
      </c>
      <c r="U82" s="7">
        <f>Formulaire!T84</f>
        <v>0</v>
      </c>
      <c r="V82" s="7">
        <f>Formulaire!U84</f>
        <v>0</v>
      </c>
      <c r="W82" s="7">
        <f>Formulaire!V84</f>
        <v>0</v>
      </c>
      <c r="X82" s="7">
        <f>Formulaire!W84</f>
        <v>0</v>
      </c>
      <c r="Y82" s="7">
        <f>Formulaire!X84</f>
        <v>0</v>
      </c>
      <c r="Z82" s="7">
        <f>Formulaire!Y84</f>
        <v>0</v>
      </c>
      <c r="AA82" s="7">
        <f>Formulaire!Z84</f>
        <v>0</v>
      </c>
      <c r="AB82" s="7">
        <f>Formulaire!AA84</f>
        <v>0</v>
      </c>
      <c r="AC82" s="7">
        <f>Formulaire!AB84</f>
        <v>0</v>
      </c>
      <c r="AD82" s="7">
        <f>Formulaire!AC84</f>
        <v>0</v>
      </c>
      <c r="AE82" s="7">
        <f>Formulaire!AD84</f>
        <v>0</v>
      </c>
      <c r="AF82" s="7" t="e">
        <f>Formulaire!#REF!</f>
        <v>#REF!</v>
      </c>
      <c r="AG82" s="7">
        <f>Formulaire!AE84</f>
        <v>0</v>
      </c>
      <c r="AH82" s="7">
        <f>Formulaire!AF84</f>
        <v>0</v>
      </c>
    </row>
    <row r="83" spans="1:34" ht="15.75" customHeight="1" x14ac:dyDescent="0.3">
      <c r="A83" s="234"/>
      <c r="B83" s="21" t="s">
        <v>325</v>
      </c>
      <c r="C83" s="7">
        <f>Formulaire!B86</f>
        <v>0</v>
      </c>
      <c r="D83" s="7">
        <f>Formulaire!C86</f>
        <v>0</v>
      </c>
      <c r="E83" s="7">
        <f>Formulaire!D86</f>
        <v>0</v>
      </c>
      <c r="F83" s="7">
        <f>Formulaire!E86</f>
        <v>0</v>
      </c>
      <c r="G83" s="7">
        <f>Formulaire!F86</f>
        <v>0</v>
      </c>
      <c r="H83" s="7">
        <f>Formulaire!G86</f>
        <v>0</v>
      </c>
      <c r="I83" s="7">
        <f>Formulaire!H86</f>
        <v>0</v>
      </c>
      <c r="J83" s="7">
        <f>Formulaire!I86</f>
        <v>0</v>
      </c>
      <c r="K83" s="7">
        <f>Formulaire!J86</f>
        <v>0</v>
      </c>
      <c r="L83" s="7">
        <f>Formulaire!K86</f>
        <v>0</v>
      </c>
      <c r="M83" s="7">
        <f>Formulaire!L86</f>
        <v>0</v>
      </c>
      <c r="N83" s="7">
        <f>Formulaire!M86</f>
        <v>0</v>
      </c>
      <c r="O83" s="7">
        <f>Formulaire!N86</f>
        <v>0</v>
      </c>
      <c r="P83" s="7">
        <f>Formulaire!O86</f>
        <v>0</v>
      </c>
      <c r="Q83" s="7">
        <f>Formulaire!P86</f>
        <v>0</v>
      </c>
      <c r="R83" s="7">
        <f>Formulaire!Q86</f>
        <v>0</v>
      </c>
      <c r="S83" s="7">
        <f>Formulaire!R86</f>
        <v>0</v>
      </c>
      <c r="T83" s="7">
        <f>Formulaire!S86</f>
        <v>0</v>
      </c>
      <c r="U83" s="7">
        <f>Formulaire!T86</f>
        <v>0</v>
      </c>
      <c r="V83" s="7">
        <f>Formulaire!U86</f>
        <v>0</v>
      </c>
      <c r="W83" s="7">
        <f>Formulaire!V86</f>
        <v>0</v>
      </c>
      <c r="X83" s="7">
        <f>Formulaire!W86</f>
        <v>0</v>
      </c>
      <c r="Y83" s="7">
        <f>Formulaire!X86</f>
        <v>0</v>
      </c>
      <c r="Z83" s="7">
        <f>Formulaire!Y86</f>
        <v>0</v>
      </c>
      <c r="AA83" s="7">
        <f>Formulaire!Z86</f>
        <v>0</v>
      </c>
      <c r="AB83" s="7">
        <f>Formulaire!AA86</f>
        <v>0</v>
      </c>
      <c r="AC83" s="7">
        <f>Formulaire!AB86</f>
        <v>0</v>
      </c>
      <c r="AD83" s="7">
        <f>Formulaire!AC86</f>
        <v>0</v>
      </c>
      <c r="AE83" s="7">
        <f>Formulaire!AD86</f>
        <v>0</v>
      </c>
      <c r="AF83" s="7" t="e">
        <f>Formulaire!#REF!</f>
        <v>#REF!</v>
      </c>
      <c r="AG83" s="7">
        <f>Formulaire!AE86</f>
        <v>0</v>
      </c>
      <c r="AH83" s="7">
        <f>Formulaire!AF86</f>
        <v>0</v>
      </c>
    </row>
    <row r="84" spans="1:34" ht="15.75" customHeight="1" x14ac:dyDescent="0.3">
      <c r="A84" s="234"/>
      <c r="B84" s="21" t="s">
        <v>326</v>
      </c>
      <c r="C84" s="7">
        <f>Formulaire!B88</f>
        <v>0</v>
      </c>
      <c r="D84" s="7">
        <f>Formulaire!C88</f>
        <v>0</v>
      </c>
      <c r="E84" s="7">
        <f>Formulaire!D88</f>
        <v>0</v>
      </c>
      <c r="F84" s="7">
        <f>Formulaire!E88</f>
        <v>0</v>
      </c>
      <c r="G84" s="7">
        <f>Formulaire!F88</f>
        <v>0</v>
      </c>
      <c r="H84" s="7">
        <f>Formulaire!G88</f>
        <v>0</v>
      </c>
      <c r="I84" s="7">
        <f>Formulaire!H88</f>
        <v>0</v>
      </c>
      <c r="J84" s="7">
        <f>Formulaire!I88</f>
        <v>0</v>
      </c>
      <c r="K84" s="7">
        <f>Formulaire!J88</f>
        <v>0</v>
      </c>
      <c r="L84" s="7">
        <f>Formulaire!K88</f>
        <v>0</v>
      </c>
      <c r="M84" s="7">
        <f>Formulaire!L88</f>
        <v>0</v>
      </c>
      <c r="N84" s="7">
        <f>Formulaire!M88</f>
        <v>0</v>
      </c>
      <c r="O84" s="7">
        <f>Formulaire!N88</f>
        <v>0</v>
      </c>
      <c r="P84" s="7">
        <f>Formulaire!O88</f>
        <v>0</v>
      </c>
      <c r="Q84" s="7">
        <f>Formulaire!P88</f>
        <v>0</v>
      </c>
      <c r="R84" s="7">
        <f>Formulaire!Q88</f>
        <v>0</v>
      </c>
      <c r="S84" s="7">
        <f>Formulaire!R88</f>
        <v>0</v>
      </c>
      <c r="T84" s="7">
        <f>Formulaire!S88</f>
        <v>0</v>
      </c>
      <c r="U84" s="7">
        <f>Formulaire!T88</f>
        <v>0</v>
      </c>
      <c r="V84" s="7">
        <f>Formulaire!U88</f>
        <v>0</v>
      </c>
      <c r="W84" s="7">
        <f>Formulaire!V88</f>
        <v>0</v>
      </c>
      <c r="X84" s="7">
        <f>Formulaire!W88</f>
        <v>0</v>
      </c>
      <c r="Y84" s="7">
        <f>Formulaire!X88</f>
        <v>0</v>
      </c>
      <c r="Z84" s="7">
        <f>Formulaire!Y88</f>
        <v>0</v>
      </c>
      <c r="AA84" s="7">
        <f>Formulaire!Z88</f>
        <v>0</v>
      </c>
      <c r="AB84" s="7">
        <f>Formulaire!AA88</f>
        <v>0</v>
      </c>
      <c r="AC84" s="7">
        <f>Formulaire!AB88</f>
        <v>0</v>
      </c>
      <c r="AD84" s="7">
        <f>Formulaire!AC88</f>
        <v>0</v>
      </c>
      <c r="AE84" s="7">
        <f>Formulaire!AD88</f>
        <v>0</v>
      </c>
      <c r="AF84" s="7" t="e">
        <f>Formulaire!#REF!</f>
        <v>#REF!</v>
      </c>
      <c r="AG84" s="7">
        <f>Formulaire!AE88</f>
        <v>0</v>
      </c>
      <c r="AH84" s="7">
        <f>Formulaire!AF88</f>
        <v>0</v>
      </c>
    </row>
    <row r="85" spans="1:34" ht="15.75" customHeight="1" x14ac:dyDescent="0.3">
      <c r="A85" s="234"/>
      <c r="B85" s="21" t="s">
        <v>327</v>
      </c>
      <c r="C85" s="7">
        <f>Formulaire!B90</f>
        <v>0</v>
      </c>
      <c r="D85" s="7">
        <f>Formulaire!C90</f>
        <v>0</v>
      </c>
      <c r="E85" s="7">
        <f>Formulaire!D90</f>
        <v>0</v>
      </c>
      <c r="F85" s="7">
        <f>Formulaire!E90</f>
        <v>0</v>
      </c>
      <c r="G85" s="7">
        <f>Formulaire!F90</f>
        <v>0</v>
      </c>
      <c r="H85" s="7">
        <f>Formulaire!G90</f>
        <v>0</v>
      </c>
      <c r="I85" s="7">
        <f>Formulaire!H90</f>
        <v>0</v>
      </c>
      <c r="J85" s="7">
        <f>Formulaire!I90</f>
        <v>0</v>
      </c>
      <c r="K85" s="7">
        <f>Formulaire!J90</f>
        <v>0</v>
      </c>
      <c r="L85" s="7">
        <f>Formulaire!K90</f>
        <v>0</v>
      </c>
      <c r="M85" s="7">
        <f>Formulaire!L90</f>
        <v>0</v>
      </c>
      <c r="N85" s="7">
        <f>Formulaire!M90</f>
        <v>0</v>
      </c>
      <c r="O85" s="7">
        <f>Formulaire!N90</f>
        <v>0</v>
      </c>
      <c r="P85" s="7">
        <f>Formulaire!O90</f>
        <v>0</v>
      </c>
      <c r="Q85" s="7">
        <f>Formulaire!P90</f>
        <v>0</v>
      </c>
      <c r="R85" s="7">
        <f>Formulaire!Q90</f>
        <v>0</v>
      </c>
      <c r="S85" s="7">
        <f>Formulaire!R90</f>
        <v>0</v>
      </c>
      <c r="T85" s="7">
        <f>Formulaire!S90</f>
        <v>0</v>
      </c>
      <c r="U85" s="7">
        <f>Formulaire!T90</f>
        <v>0</v>
      </c>
      <c r="V85" s="7">
        <f>Formulaire!U90</f>
        <v>0</v>
      </c>
      <c r="W85" s="7">
        <f>Formulaire!V90</f>
        <v>0</v>
      </c>
      <c r="X85" s="7">
        <f>Formulaire!W90</f>
        <v>0</v>
      </c>
      <c r="Y85" s="7">
        <f>Formulaire!X90</f>
        <v>0</v>
      </c>
      <c r="Z85" s="7">
        <f>Formulaire!Y90</f>
        <v>0</v>
      </c>
      <c r="AA85" s="7">
        <f>Formulaire!Z90</f>
        <v>0</v>
      </c>
      <c r="AB85" s="7">
        <f>Formulaire!AA90</f>
        <v>0</v>
      </c>
      <c r="AC85" s="7">
        <f>Formulaire!AB90</f>
        <v>0</v>
      </c>
      <c r="AD85" s="7">
        <f>Formulaire!AC90</f>
        <v>0</v>
      </c>
      <c r="AE85" s="7">
        <f>Formulaire!AD90</f>
        <v>0</v>
      </c>
      <c r="AF85" s="7" t="e">
        <f>Formulaire!#REF!</f>
        <v>#REF!</v>
      </c>
      <c r="AG85" s="7">
        <f>Formulaire!AE90</f>
        <v>0</v>
      </c>
      <c r="AH85" s="7">
        <f>Formulaire!AF90</f>
        <v>0</v>
      </c>
    </row>
    <row r="86" spans="1:34" ht="15.75" customHeight="1" x14ac:dyDescent="0.3">
      <c r="A86" s="234"/>
      <c r="B86" s="21" t="s">
        <v>328</v>
      </c>
      <c r="C86" s="7">
        <f>Formulaire!B92</f>
        <v>0</v>
      </c>
      <c r="D86" s="7">
        <f>Formulaire!C92</f>
        <v>0</v>
      </c>
      <c r="E86" s="7">
        <f>Formulaire!D92</f>
        <v>0</v>
      </c>
      <c r="F86" s="7">
        <f>Formulaire!E92</f>
        <v>0</v>
      </c>
      <c r="G86" s="7">
        <f>Formulaire!F92</f>
        <v>0</v>
      </c>
      <c r="H86" s="7">
        <f>Formulaire!G92</f>
        <v>0</v>
      </c>
      <c r="I86" s="7">
        <f>Formulaire!H92</f>
        <v>0</v>
      </c>
      <c r="J86" s="7">
        <f>Formulaire!I92</f>
        <v>0</v>
      </c>
      <c r="K86" s="7">
        <f>Formulaire!J92</f>
        <v>0</v>
      </c>
      <c r="L86" s="7">
        <f>Formulaire!K92</f>
        <v>0</v>
      </c>
      <c r="M86" s="7">
        <f>Formulaire!L92</f>
        <v>0</v>
      </c>
      <c r="N86" s="7">
        <f>Formulaire!M92</f>
        <v>0</v>
      </c>
      <c r="O86" s="7">
        <f>Formulaire!N92</f>
        <v>0</v>
      </c>
      <c r="P86" s="7">
        <f>Formulaire!O92</f>
        <v>0</v>
      </c>
      <c r="Q86" s="7">
        <f>Formulaire!P92</f>
        <v>0</v>
      </c>
      <c r="R86" s="7">
        <f>Formulaire!Q92</f>
        <v>0</v>
      </c>
      <c r="S86" s="7">
        <f>Formulaire!R92</f>
        <v>0</v>
      </c>
      <c r="T86" s="7">
        <f>Formulaire!S92</f>
        <v>0</v>
      </c>
      <c r="U86" s="7">
        <f>Formulaire!T92</f>
        <v>0</v>
      </c>
      <c r="V86" s="7">
        <f>Formulaire!U92</f>
        <v>0</v>
      </c>
      <c r="W86" s="7">
        <f>Formulaire!V92</f>
        <v>0</v>
      </c>
      <c r="X86" s="7">
        <f>Formulaire!W92</f>
        <v>0</v>
      </c>
      <c r="Y86" s="7">
        <f>Formulaire!X92</f>
        <v>0</v>
      </c>
      <c r="Z86" s="7">
        <f>Formulaire!Y92</f>
        <v>0</v>
      </c>
      <c r="AA86" s="7">
        <f>Formulaire!Z92</f>
        <v>0</v>
      </c>
      <c r="AB86" s="7">
        <f>Formulaire!AA92</f>
        <v>0</v>
      </c>
      <c r="AC86" s="7">
        <f>Formulaire!AB92</f>
        <v>0</v>
      </c>
      <c r="AD86" s="7">
        <f>Formulaire!AC92</f>
        <v>0</v>
      </c>
      <c r="AE86" s="7">
        <f>Formulaire!AD92</f>
        <v>0</v>
      </c>
      <c r="AF86" s="7" t="e">
        <f>Formulaire!#REF!</f>
        <v>#REF!</v>
      </c>
      <c r="AG86" s="7">
        <f>Formulaire!AE92</f>
        <v>0</v>
      </c>
      <c r="AH86" s="7">
        <f>Formulaire!AF92</f>
        <v>0</v>
      </c>
    </row>
    <row r="87" spans="1:34" ht="15.75" customHeight="1" x14ac:dyDescent="0.3">
      <c r="A87" s="234"/>
      <c r="B87" s="31" t="s">
        <v>329</v>
      </c>
      <c r="C87" s="27">
        <f>MEDIAN(C47:C86)</f>
        <v>0</v>
      </c>
      <c r="D87" s="27">
        <f t="shared" ref="D87:AH87" si="5">MEDIAN(D47:D86)</f>
        <v>0</v>
      </c>
      <c r="E87" s="27">
        <f t="shared" si="5"/>
        <v>0</v>
      </c>
      <c r="F87" s="27">
        <f t="shared" si="5"/>
        <v>0</v>
      </c>
      <c r="G87" s="27">
        <f t="shared" si="5"/>
        <v>0</v>
      </c>
      <c r="H87" s="27">
        <f t="shared" si="5"/>
        <v>0</v>
      </c>
      <c r="I87" s="27">
        <f t="shared" si="5"/>
        <v>0</v>
      </c>
      <c r="J87" s="27">
        <f t="shared" si="5"/>
        <v>0</v>
      </c>
      <c r="K87" s="27">
        <f t="shared" si="5"/>
        <v>0</v>
      </c>
      <c r="L87" s="27">
        <f t="shared" si="5"/>
        <v>0</v>
      </c>
      <c r="M87" s="27">
        <f t="shared" si="5"/>
        <v>0</v>
      </c>
      <c r="N87" s="27">
        <f t="shared" si="5"/>
        <v>0</v>
      </c>
      <c r="O87" s="27">
        <f t="shared" si="5"/>
        <v>0</v>
      </c>
      <c r="P87" s="27">
        <f t="shared" si="5"/>
        <v>0</v>
      </c>
      <c r="Q87" s="27">
        <f t="shared" si="5"/>
        <v>0</v>
      </c>
      <c r="R87" s="27">
        <f t="shared" si="5"/>
        <v>0</v>
      </c>
      <c r="S87" s="27">
        <f t="shared" si="5"/>
        <v>0</v>
      </c>
      <c r="T87" s="27">
        <f t="shared" si="5"/>
        <v>0</v>
      </c>
      <c r="U87" s="27">
        <f t="shared" si="5"/>
        <v>0</v>
      </c>
      <c r="V87" s="27">
        <f t="shared" si="5"/>
        <v>0</v>
      </c>
      <c r="W87" s="27">
        <f t="shared" si="5"/>
        <v>0</v>
      </c>
      <c r="X87" s="27">
        <f t="shared" si="5"/>
        <v>0</v>
      </c>
      <c r="Y87" s="27">
        <f t="shared" si="5"/>
        <v>0</v>
      </c>
      <c r="Z87" s="27">
        <f t="shared" si="5"/>
        <v>0</v>
      </c>
      <c r="AA87" s="27">
        <f t="shared" si="5"/>
        <v>0</v>
      </c>
      <c r="AB87" s="27">
        <f t="shared" si="5"/>
        <v>0</v>
      </c>
      <c r="AC87" s="27">
        <f t="shared" si="5"/>
        <v>0</v>
      </c>
      <c r="AD87" s="27">
        <f t="shared" si="5"/>
        <v>0</v>
      </c>
      <c r="AE87" s="27">
        <f t="shared" si="5"/>
        <v>0</v>
      </c>
      <c r="AF87" s="27" t="e">
        <f t="shared" si="5"/>
        <v>#REF!</v>
      </c>
      <c r="AG87" s="27">
        <f t="shared" si="5"/>
        <v>0</v>
      </c>
      <c r="AH87" s="27">
        <f t="shared" si="5"/>
        <v>0</v>
      </c>
    </row>
    <row r="88" spans="1:34" ht="15.75" customHeight="1" x14ac:dyDescent="0.3">
      <c r="A88" s="7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15.75" customHeight="1" x14ac:dyDescent="0.3">
      <c r="A89" s="7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ht="69" customHeight="1" x14ac:dyDescent="0.3">
      <c r="A90" s="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ht="15.75" customHeight="1" x14ac:dyDescent="0.3">
      <c r="A91" s="7"/>
      <c r="B91" s="7" t="s">
        <v>44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5.75" customHeight="1" x14ac:dyDescent="0.3">
      <c r="A92" s="7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5.75" customHeight="1" x14ac:dyDescent="0.3">
      <c r="A93" s="7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5.75" customHeight="1" x14ac:dyDescent="0.3">
      <c r="A94" s="7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5.75" customHeight="1" x14ac:dyDescent="0.3">
      <c r="A95" s="7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ht="15.75" customHeight="1" x14ac:dyDescent="0.3">
      <c r="A96" s="7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5.75" customHeight="1" x14ac:dyDescent="0.3">
      <c r="A97" s="7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15.75" customHeight="1" x14ac:dyDescent="0.3">
      <c r="A98" s="7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15.75" customHeight="1" x14ac:dyDescent="0.3">
      <c r="A99" s="7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15.75" customHeight="1" x14ac:dyDescent="0.3">
      <c r="A100" s="7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ht="15.75" customHeight="1" x14ac:dyDescent="0.3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5.75" customHeight="1" x14ac:dyDescent="0.3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5.75" customHeight="1" x14ac:dyDescent="0.3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5.75" customHeight="1" x14ac:dyDescent="0.3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ht="15.75" customHeight="1" x14ac:dyDescent="0.3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15.75" customHeight="1" x14ac:dyDescent="0.3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5.75" customHeight="1" x14ac:dyDescent="0.3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5.75" customHeight="1" x14ac:dyDescent="0.3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ht="15.75" customHeight="1" x14ac:dyDescent="0.3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ht="15.75" customHeight="1" x14ac:dyDescent="0.3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15.75" customHeight="1" x14ac:dyDescent="0.3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5.75" customHeight="1" x14ac:dyDescent="0.3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5.75" customHeight="1" x14ac:dyDescent="0.3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5.75" customHeight="1" x14ac:dyDescent="0.3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ht="15.75" customHeight="1" x14ac:dyDescent="0.3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5.75" customHeight="1" x14ac:dyDescent="0.3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5.75" customHeight="1" x14ac:dyDescent="0.3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5.75" customHeight="1" x14ac:dyDescent="0.3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15.75" customHeight="1" x14ac:dyDescent="0.3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ht="15.75" customHeight="1" x14ac:dyDescent="0.3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ht="15.75" customHeight="1" x14ac:dyDescent="0.3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5.75" customHeight="1" x14ac:dyDescent="0.3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ht="15.75" customHeight="1" x14ac:dyDescent="0.3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ht="15.75" customHeight="1" x14ac:dyDescent="0.3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34" ht="15.75" customHeight="1" x14ac:dyDescent="0.3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5.75" customHeight="1" x14ac:dyDescent="0.3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5.75" customHeight="1" x14ac:dyDescent="0.3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4" ht="15.75" customHeight="1" x14ac:dyDescent="0.3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ht="15.75" customHeight="1" x14ac:dyDescent="0.3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ht="15.75" customHeight="1" x14ac:dyDescent="0.3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15.75" customHeight="1" x14ac:dyDescent="0.3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 ht="15.75" customHeight="1" x14ac:dyDescent="0.3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ht="15.75" customHeight="1" x14ac:dyDescent="0.3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ht="15.75" customHeight="1" x14ac:dyDescent="0.3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15.75" customHeight="1" x14ac:dyDescent="0.3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15.75" customHeight="1" x14ac:dyDescent="0.3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15.75" customHeight="1" x14ac:dyDescent="0.3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15.75" customHeight="1" x14ac:dyDescent="0.3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5.75" customHeight="1" x14ac:dyDescent="0.3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5.75" customHeight="1" x14ac:dyDescent="0.3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1:34" ht="15.75" customHeight="1" x14ac:dyDescent="0.3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15.75" customHeight="1" x14ac:dyDescent="0.3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ht="15.75" customHeight="1" x14ac:dyDescent="0.3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5.75" customHeight="1" x14ac:dyDescent="0.3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15.75" customHeight="1" x14ac:dyDescent="0.3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4" ht="15.75" customHeight="1" x14ac:dyDescent="0.3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15.75" customHeight="1" x14ac:dyDescent="0.3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5.75" customHeight="1" x14ac:dyDescent="0.3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15.75" customHeight="1" x14ac:dyDescent="0.3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ht="15.75" customHeight="1" x14ac:dyDescent="0.3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ht="15.75" customHeight="1" x14ac:dyDescent="0.3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ht="15.75" customHeight="1" x14ac:dyDescent="0.3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ht="15.75" customHeight="1" x14ac:dyDescent="0.3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ht="15.75" customHeight="1" x14ac:dyDescent="0.3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4" ht="15.75" customHeight="1" x14ac:dyDescent="0.3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5.75" customHeight="1" x14ac:dyDescent="0.3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15.75" customHeight="1" x14ac:dyDescent="0.3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5.75" customHeight="1" x14ac:dyDescent="0.3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5.75" customHeight="1" x14ac:dyDescent="0.3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15.75" customHeight="1" x14ac:dyDescent="0.3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5.75" customHeight="1" x14ac:dyDescent="0.3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5.75" customHeight="1" x14ac:dyDescent="0.3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15.75" customHeight="1" x14ac:dyDescent="0.3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15.75" customHeight="1" x14ac:dyDescent="0.3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15.75" customHeight="1" x14ac:dyDescent="0.3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5.75" customHeight="1" x14ac:dyDescent="0.3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15.75" customHeight="1" x14ac:dyDescent="0.3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ht="15.75" customHeight="1" x14ac:dyDescent="0.3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4" ht="15.75" customHeight="1" x14ac:dyDescent="0.3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5.75" customHeight="1" x14ac:dyDescent="0.3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5.75" customHeight="1" x14ac:dyDescent="0.3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ht="15.75" customHeight="1" x14ac:dyDescent="0.3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4" ht="15.75" customHeight="1" x14ac:dyDescent="0.3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ht="15.75" customHeight="1" x14ac:dyDescent="0.3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5.75" customHeight="1" x14ac:dyDescent="0.3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5.75" customHeight="1" x14ac:dyDescent="0.3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1:34" ht="15.75" customHeight="1" x14ac:dyDescent="0.3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ht="15.75" customHeight="1" x14ac:dyDescent="0.3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ht="15.75" customHeight="1" x14ac:dyDescent="0.3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15.75" customHeight="1" x14ac:dyDescent="0.3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15.75" customHeight="1" x14ac:dyDescent="0.3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ht="15.75" customHeight="1" x14ac:dyDescent="0.3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4" ht="15.75" customHeight="1" x14ac:dyDescent="0.3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5.75" customHeight="1" x14ac:dyDescent="0.3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5.75" customHeight="1" x14ac:dyDescent="0.3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ht="15.75" customHeight="1" x14ac:dyDescent="0.3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ht="15.75" customHeight="1" x14ac:dyDescent="0.3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15.75" customHeight="1" x14ac:dyDescent="0.3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5.75" customHeight="1" x14ac:dyDescent="0.3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5.75" customHeight="1" x14ac:dyDescent="0.3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ht="15.75" customHeight="1" x14ac:dyDescent="0.3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1:34" ht="15.75" customHeight="1" x14ac:dyDescent="0.3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1:34" ht="15.75" customHeight="1" x14ac:dyDescent="0.3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5.75" customHeight="1" x14ac:dyDescent="0.3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ht="15.75" customHeight="1" x14ac:dyDescent="0.3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ht="15.75" customHeight="1" x14ac:dyDescent="0.3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15.75" customHeight="1" x14ac:dyDescent="0.3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5.75" customHeight="1" x14ac:dyDescent="0.3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5.75" customHeight="1" x14ac:dyDescent="0.3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ht="15.75" customHeight="1" x14ac:dyDescent="0.3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ht="15.75" customHeight="1" x14ac:dyDescent="0.3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ht="15.75" customHeight="1" x14ac:dyDescent="0.3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5.75" customHeight="1" x14ac:dyDescent="0.3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5.75" customHeight="1" x14ac:dyDescent="0.3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1:34" ht="15.75" customHeight="1" x14ac:dyDescent="0.3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15.75" customHeight="1" x14ac:dyDescent="0.3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ht="15.75" customHeight="1" x14ac:dyDescent="0.3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5.75" customHeight="1" x14ac:dyDescent="0.3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5.75" customHeight="1" x14ac:dyDescent="0.3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ht="15.75" customHeight="1" x14ac:dyDescent="0.3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ht="15.75" customHeight="1" x14ac:dyDescent="0.3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5.75" customHeight="1" x14ac:dyDescent="0.3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5.75" customHeight="1" x14ac:dyDescent="0.3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5.75" customHeight="1" x14ac:dyDescent="0.3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ht="15.75" customHeight="1" x14ac:dyDescent="0.3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5.75" customHeight="1" x14ac:dyDescent="0.3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15.75" customHeight="1" x14ac:dyDescent="0.3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5.75" customHeight="1" x14ac:dyDescent="0.3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5.75" customHeight="1" x14ac:dyDescent="0.3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5.75" customHeight="1" x14ac:dyDescent="0.3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5.75" customHeight="1" x14ac:dyDescent="0.3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15.75" customHeight="1" x14ac:dyDescent="0.3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15.75" customHeight="1" x14ac:dyDescent="0.3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5.75" customHeight="1" x14ac:dyDescent="0.3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5.75" customHeight="1" x14ac:dyDescent="0.3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15.75" customHeight="1" x14ac:dyDescent="0.3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5.75" customHeight="1" x14ac:dyDescent="0.3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ht="15.75" customHeight="1" x14ac:dyDescent="0.3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5.75" customHeight="1" x14ac:dyDescent="0.3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15.75" customHeight="1" x14ac:dyDescent="0.3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spans="1:34" ht="15.75" customHeight="1" x14ac:dyDescent="0.3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ht="15.75" customHeight="1" x14ac:dyDescent="0.3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5.75" customHeight="1" x14ac:dyDescent="0.3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spans="1:34" ht="15.75" customHeight="1" x14ac:dyDescent="0.3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ht="15.75" customHeight="1" x14ac:dyDescent="0.3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15.75" customHeight="1" x14ac:dyDescent="0.3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5.75" customHeight="1" x14ac:dyDescent="0.3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5.75" customHeight="1" x14ac:dyDescent="0.3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ht="15.75" customHeight="1" x14ac:dyDescent="0.3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ht="15.75" customHeight="1" x14ac:dyDescent="0.3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15.75" customHeight="1" x14ac:dyDescent="0.3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5.75" customHeight="1" x14ac:dyDescent="0.3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ht="15.75" customHeight="1" x14ac:dyDescent="0.3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15.75" customHeight="1" x14ac:dyDescent="0.3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15.75" customHeight="1" x14ac:dyDescent="0.3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5.75" customHeight="1" x14ac:dyDescent="0.3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5.75" customHeight="1" x14ac:dyDescent="0.3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ht="15.75" customHeight="1" x14ac:dyDescent="0.3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4" ht="15.75" customHeight="1" x14ac:dyDescent="0.3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spans="1:34" ht="15.75" customHeight="1" x14ac:dyDescent="0.3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5.75" customHeight="1" x14ac:dyDescent="0.3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spans="1:34" ht="15.75" customHeight="1" x14ac:dyDescent="0.3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ht="15.75" customHeight="1" x14ac:dyDescent="0.3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15.75" customHeight="1" x14ac:dyDescent="0.3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5.75" customHeight="1" x14ac:dyDescent="0.3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ht="15.75" customHeight="1" x14ac:dyDescent="0.3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ht="15.75" customHeight="1" x14ac:dyDescent="0.3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4" ht="15.75" customHeight="1" x14ac:dyDescent="0.3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5.75" customHeight="1" x14ac:dyDescent="0.3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5.75" customHeight="1" x14ac:dyDescent="0.3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ht="15.75" customHeight="1" x14ac:dyDescent="0.3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ht="15.75" customHeight="1" x14ac:dyDescent="0.3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spans="1:34" ht="15.75" customHeight="1" x14ac:dyDescent="0.3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5.75" customHeight="1" x14ac:dyDescent="0.3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ht="15.75" customHeight="1" x14ac:dyDescent="0.3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15.75" customHeight="1" x14ac:dyDescent="0.3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5.75" customHeight="1" x14ac:dyDescent="0.3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5.75" customHeight="1" x14ac:dyDescent="0.3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ht="15.75" customHeight="1" x14ac:dyDescent="0.3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spans="1:34" ht="15.75" customHeight="1" x14ac:dyDescent="0.3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ht="15.75" customHeight="1" x14ac:dyDescent="0.3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spans="1:34" ht="15.75" customHeight="1" x14ac:dyDescent="0.3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5.75" customHeight="1" x14ac:dyDescent="0.3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5.75" customHeight="1" x14ac:dyDescent="0.3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ht="15.75" customHeight="1" x14ac:dyDescent="0.3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15.75" customHeight="1" x14ac:dyDescent="0.3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15.75" customHeight="1" x14ac:dyDescent="0.3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5.75" customHeight="1" x14ac:dyDescent="0.3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5.75" customHeight="1" x14ac:dyDescent="0.3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ht="15.75" customHeight="1" x14ac:dyDescent="0.3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15.75" customHeight="1" x14ac:dyDescent="0.3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15.75" customHeight="1" x14ac:dyDescent="0.3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5.75" customHeight="1" x14ac:dyDescent="0.3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5.75" customHeight="1" x14ac:dyDescent="0.3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5.75" customHeight="1" x14ac:dyDescent="0.3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ht="15.75" customHeight="1" x14ac:dyDescent="0.3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ht="15.75" customHeight="1" x14ac:dyDescent="0.3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4" ht="15.75" customHeight="1" x14ac:dyDescent="0.3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15.75" customHeight="1" x14ac:dyDescent="0.3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5.75" customHeight="1" x14ac:dyDescent="0.3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ht="15.75" customHeight="1" x14ac:dyDescent="0.3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ht="15.75" customHeight="1" x14ac:dyDescent="0.3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ht="15.75" customHeight="1" x14ac:dyDescent="0.3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ht="15.75" customHeight="1" x14ac:dyDescent="0.3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5.75" customHeight="1" x14ac:dyDescent="0.3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ht="15.75" customHeight="1" x14ac:dyDescent="0.3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ht="15.75" customHeight="1" x14ac:dyDescent="0.3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15.75" customHeight="1" x14ac:dyDescent="0.3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15.75" customHeight="1" x14ac:dyDescent="0.3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ht="15.75" customHeight="1" x14ac:dyDescent="0.3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ht="15.75" customHeight="1" x14ac:dyDescent="0.3">
      <c r="A301" s="7"/>
      <c r="B301" s="1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15.75" customHeight="1" x14ac:dyDescent="0.3">
      <c r="A302" s="7"/>
      <c r="B302" s="1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5.75" customHeight="1" x14ac:dyDescent="0.3">
      <c r="A303" s="7"/>
      <c r="B303" s="1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4" ht="15.75" customHeight="1" x14ac:dyDescent="0.3">
      <c r="A304" s="7"/>
      <c r="B304" s="1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ht="15.75" customHeight="1" x14ac:dyDescent="0.3">
      <c r="A305" s="7"/>
      <c r="B305" s="1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ht="15.75" customHeight="1" x14ac:dyDescent="0.3">
      <c r="A306" s="7"/>
      <c r="B306" s="1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5.75" customHeight="1" x14ac:dyDescent="0.3">
      <c r="A307" s="7"/>
      <c r="B307" s="1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4" ht="15.75" customHeight="1" x14ac:dyDescent="0.3">
      <c r="A308" s="7"/>
      <c r="B308" s="1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5.75" customHeight="1" x14ac:dyDescent="0.3">
      <c r="A309" s="7"/>
      <c r="B309" s="1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5.75" customHeight="1" x14ac:dyDescent="0.3">
      <c r="A310" s="7"/>
      <c r="B310" s="1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15.75" customHeight="1" x14ac:dyDescent="0.3">
      <c r="A311" s="7"/>
      <c r="B311" s="1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15.75" customHeight="1" x14ac:dyDescent="0.3">
      <c r="A312" s="7"/>
      <c r="B312" s="1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spans="1:34" ht="15.75" customHeight="1" x14ac:dyDescent="0.3">
      <c r="A313" s="7"/>
      <c r="B313" s="1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ht="15.75" customHeight="1" x14ac:dyDescent="0.3">
      <c r="A314" s="7"/>
      <c r="B314" s="1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ht="15.75" customHeight="1" x14ac:dyDescent="0.3">
      <c r="A315" s="7"/>
      <c r="B315" s="1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5.75" customHeight="1" x14ac:dyDescent="0.3">
      <c r="A316" s="7"/>
      <c r="B316" s="1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ht="15.75" customHeight="1" x14ac:dyDescent="0.3">
      <c r="A317" s="7"/>
      <c r="B317" s="1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spans="1:34" ht="15.75" customHeight="1" x14ac:dyDescent="0.3">
      <c r="A318" s="7"/>
      <c r="B318" s="1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15.75" customHeight="1" x14ac:dyDescent="0.3">
      <c r="A319" s="7"/>
      <c r="B319" s="1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5.75" customHeight="1" x14ac:dyDescent="0.3">
      <c r="A320" s="7"/>
      <c r="B320" s="1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spans="1:34" ht="15.75" customHeight="1" x14ac:dyDescent="0.3">
      <c r="A321" s="7"/>
      <c r="B321" s="1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5.75" customHeight="1" x14ac:dyDescent="0.3">
      <c r="A322" s="7"/>
      <c r="B322" s="1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4" ht="15.75" customHeight="1" x14ac:dyDescent="0.3">
      <c r="A323" s="7"/>
      <c r="B323" s="1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spans="1:34" ht="15.75" customHeight="1" x14ac:dyDescent="0.3">
      <c r="A324" s="7"/>
      <c r="B324" s="1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ht="15.75" customHeight="1" x14ac:dyDescent="0.3">
      <c r="A325" s="7"/>
      <c r="B325" s="1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4" ht="15.75" customHeight="1" x14ac:dyDescent="0.3">
      <c r="A326" s="7"/>
      <c r="B326" s="1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15.75" customHeight="1" x14ac:dyDescent="0.3">
      <c r="A327" s="7"/>
      <c r="B327" s="1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5.75" customHeight="1" x14ac:dyDescent="0.3">
      <c r="A328" s="7"/>
      <c r="B328" s="1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spans="1:34" ht="15.75" customHeight="1" x14ac:dyDescent="0.3">
      <c r="A329" s="7"/>
      <c r="B329" s="1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spans="1:34" ht="15.75" customHeight="1" x14ac:dyDescent="0.3">
      <c r="A330" s="7"/>
      <c r="B330" s="1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ht="15.75" customHeight="1" x14ac:dyDescent="0.3">
      <c r="A331" s="7"/>
      <c r="B331" s="1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ht="15.75" customHeight="1" x14ac:dyDescent="0.3">
      <c r="A332" s="7"/>
      <c r="B332" s="1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ht="15.75" customHeight="1" x14ac:dyDescent="0.3">
      <c r="A333" s="7"/>
      <c r="B333" s="1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15.75" customHeight="1" x14ac:dyDescent="0.3">
      <c r="A334" s="7"/>
      <c r="B334" s="1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ht="15.75" customHeight="1" x14ac:dyDescent="0.3">
      <c r="A335" s="7"/>
      <c r="B335" s="1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ht="15.75" customHeight="1" x14ac:dyDescent="0.3">
      <c r="A336" s="7"/>
      <c r="B336" s="1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ht="15.75" customHeight="1" x14ac:dyDescent="0.3">
      <c r="A337" s="7"/>
      <c r="B337" s="1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ht="15.75" customHeight="1" x14ac:dyDescent="0.3">
      <c r="A338" s="7"/>
      <c r="B338" s="1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5.75" customHeight="1" x14ac:dyDescent="0.3">
      <c r="A339" s="7"/>
      <c r="B339" s="1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ht="15.75" customHeight="1" x14ac:dyDescent="0.3">
      <c r="A340" s="7"/>
      <c r="B340" s="1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ht="15.75" customHeight="1" x14ac:dyDescent="0.3">
      <c r="A341" s="7"/>
      <c r="B341" s="1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spans="1:34" ht="15.75" customHeight="1" x14ac:dyDescent="0.3">
      <c r="A342" s="7"/>
      <c r="B342" s="1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spans="1:34" ht="15.75" customHeight="1" x14ac:dyDescent="0.3">
      <c r="A343" s="7"/>
      <c r="B343" s="1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5.75" customHeight="1" x14ac:dyDescent="0.3">
      <c r="A344" s="7"/>
      <c r="B344" s="1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ht="15.75" customHeight="1" x14ac:dyDescent="0.3">
      <c r="A345" s="7"/>
      <c r="B345" s="1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ht="15.75" customHeight="1" x14ac:dyDescent="0.3">
      <c r="A346" s="7"/>
      <c r="B346" s="1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15.75" customHeight="1" x14ac:dyDescent="0.3">
      <c r="A347" s="7"/>
      <c r="B347" s="1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ht="15.75" customHeight="1" x14ac:dyDescent="0.3">
      <c r="A348" s="7"/>
      <c r="B348" s="1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5.75" customHeight="1" x14ac:dyDescent="0.3">
      <c r="A349" s="7"/>
      <c r="B349" s="1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ht="15.75" customHeight="1" x14ac:dyDescent="0.3">
      <c r="A350" s="7"/>
      <c r="B350" s="1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ht="15.75" customHeight="1" x14ac:dyDescent="0.3">
      <c r="A351" s="7"/>
      <c r="B351" s="1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spans="1:34" ht="15.75" customHeight="1" x14ac:dyDescent="0.3">
      <c r="A352" s="7"/>
      <c r="B352" s="1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ht="15.75" customHeight="1" x14ac:dyDescent="0.3">
      <c r="A353" s="7"/>
      <c r="B353" s="1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5.75" customHeight="1" x14ac:dyDescent="0.3">
      <c r="A354" s="7"/>
      <c r="B354" s="1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5.75" customHeight="1" x14ac:dyDescent="0.3">
      <c r="A355" s="7"/>
      <c r="B355" s="1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spans="1:34" ht="15.75" customHeight="1" x14ac:dyDescent="0.3">
      <c r="A356" s="7"/>
      <c r="B356" s="1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4" ht="15.75" customHeight="1" x14ac:dyDescent="0.3">
      <c r="A357" s="7"/>
      <c r="B357" s="1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ht="15.75" customHeight="1" x14ac:dyDescent="0.3">
      <c r="A358" s="7"/>
      <c r="B358" s="1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ht="15.75" customHeight="1" x14ac:dyDescent="0.3">
      <c r="A359" s="7"/>
      <c r="B359" s="1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5.75" customHeight="1" x14ac:dyDescent="0.3">
      <c r="A360" s="7"/>
      <c r="B360" s="1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4" ht="15.75" customHeight="1" x14ac:dyDescent="0.3">
      <c r="A361" s="7"/>
      <c r="B361" s="1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ht="15.75" customHeight="1" x14ac:dyDescent="0.3">
      <c r="A362" s="7"/>
      <c r="B362" s="1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15.75" customHeight="1" x14ac:dyDescent="0.3">
      <c r="A363" s="7"/>
      <c r="B363" s="1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ht="15.75" customHeight="1" x14ac:dyDescent="0.3">
      <c r="A364" s="7"/>
      <c r="B364" s="1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5.75" customHeight="1" x14ac:dyDescent="0.3">
      <c r="A365" s="7"/>
      <c r="B365" s="1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5.75" customHeight="1" x14ac:dyDescent="0.3">
      <c r="A366" s="7"/>
      <c r="B366" s="1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5.75" customHeight="1" x14ac:dyDescent="0.3">
      <c r="A367" s="7"/>
      <c r="B367" s="1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5.75" customHeight="1" x14ac:dyDescent="0.3">
      <c r="A368" s="7"/>
      <c r="B368" s="1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5.75" customHeight="1" x14ac:dyDescent="0.3">
      <c r="A369" s="7"/>
      <c r="B369" s="1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5.75" customHeight="1" x14ac:dyDescent="0.3">
      <c r="A370" s="7"/>
      <c r="B370" s="1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5.75" customHeight="1" x14ac:dyDescent="0.3">
      <c r="A371" s="7"/>
      <c r="B371" s="1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5.75" customHeight="1" x14ac:dyDescent="0.3">
      <c r="A372" s="7"/>
      <c r="B372" s="1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5.75" customHeight="1" x14ac:dyDescent="0.3">
      <c r="A373" s="7"/>
      <c r="B373" s="1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5.75" customHeight="1" x14ac:dyDescent="0.3">
      <c r="A374" s="7"/>
      <c r="B374" s="1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5.75" customHeight="1" x14ac:dyDescent="0.3">
      <c r="A375" s="7"/>
      <c r="B375" s="1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5.75" customHeight="1" x14ac:dyDescent="0.3">
      <c r="A376" s="7"/>
      <c r="B376" s="1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5.75" customHeight="1" x14ac:dyDescent="0.3">
      <c r="A377" s="7"/>
      <c r="B377" s="1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5.75" customHeight="1" x14ac:dyDescent="0.3">
      <c r="A378" s="7"/>
      <c r="B378" s="1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5.75" customHeight="1" x14ac:dyDescent="0.3">
      <c r="A379" s="7"/>
      <c r="B379" s="1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5.75" customHeight="1" x14ac:dyDescent="0.3">
      <c r="A380" s="7"/>
      <c r="B380" s="1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5.75" customHeight="1" x14ac:dyDescent="0.3">
      <c r="A381" s="7"/>
      <c r="B381" s="1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5.75" customHeight="1" x14ac:dyDescent="0.3">
      <c r="A382" s="7"/>
      <c r="B382" s="1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5.75" customHeight="1" x14ac:dyDescent="0.3">
      <c r="A383" s="7"/>
      <c r="B383" s="1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5.75" customHeight="1" x14ac:dyDescent="0.3">
      <c r="A384" s="7"/>
      <c r="B384" s="1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5.75" customHeight="1" x14ac:dyDescent="0.3">
      <c r="A385" s="7"/>
      <c r="B385" s="1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5.75" customHeight="1" x14ac:dyDescent="0.3">
      <c r="A386" s="7"/>
      <c r="B386" s="1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5.75" customHeight="1" x14ac:dyDescent="0.3">
      <c r="A387" s="7"/>
      <c r="B387" s="1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5.75" customHeight="1" x14ac:dyDescent="0.3">
      <c r="A388" s="7"/>
      <c r="B388" s="1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5.75" customHeight="1" x14ac:dyDescent="0.3">
      <c r="A389" s="7"/>
      <c r="B389" s="1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5.75" customHeight="1" x14ac:dyDescent="0.3">
      <c r="A390" s="7"/>
      <c r="B390" s="1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5.75" customHeight="1" x14ac:dyDescent="0.3">
      <c r="A391" s="7"/>
      <c r="B391" s="1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5.75" customHeight="1" x14ac:dyDescent="0.3">
      <c r="A392" s="7"/>
      <c r="B392" s="1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5.75" customHeight="1" x14ac:dyDescent="0.3">
      <c r="A393" s="7"/>
      <c r="B393" s="1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5.75" customHeight="1" x14ac:dyDescent="0.3">
      <c r="A394" s="7"/>
      <c r="B394" s="1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5.75" customHeight="1" x14ac:dyDescent="0.3">
      <c r="A395" s="7"/>
      <c r="B395" s="1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5.75" customHeight="1" x14ac:dyDescent="0.3">
      <c r="A396" s="7"/>
      <c r="B396" s="1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5.75" customHeight="1" x14ac:dyDescent="0.3">
      <c r="A397" s="7"/>
      <c r="B397" s="1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5.75" customHeight="1" x14ac:dyDescent="0.3">
      <c r="A398" s="7"/>
      <c r="B398" s="1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5.75" customHeight="1" x14ac:dyDescent="0.3">
      <c r="A399" s="7"/>
      <c r="B399" s="1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5.75" customHeight="1" x14ac:dyDescent="0.3">
      <c r="A400" s="7"/>
      <c r="B400" s="1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5.75" customHeight="1" x14ac:dyDescent="0.3">
      <c r="A401" s="7"/>
      <c r="B401" s="1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5.75" customHeight="1" x14ac:dyDescent="0.3">
      <c r="A402" s="7"/>
      <c r="B402" s="1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4" ht="15.75" customHeight="1" x14ac:dyDescent="0.3">
      <c r="A403" s="7"/>
      <c r="B403" s="1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5.75" customHeight="1" x14ac:dyDescent="0.3">
      <c r="A404" s="7"/>
      <c r="B404" s="1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5.75" customHeight="1" x14ac:dyDescent="0.3">
      <c r="A405" s="7"/>
      <c r="B405" s="1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4" ht="15.75" customHeight="1" x14ac:dyDescent="0.3">
      <c r="A406" s="7"/>
      <c r="B406" s="1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ht="15.75" customHeight="1" x14ac:dyDescent="0.3">
      <c r="A407" s="7"/>
      <c r="B407" s="1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ht="15.75" customHeight="1" x14ac:dyDescent="0.3">
      <c r="A408" s="7"/>
      <c r="B408" s="1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5.75" customHeight="1" x14ac:dyDescent="0.3">
      <c r="A409" s="7"/>
      <c r="B409" s="1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ht="15.75" customHeight="1" x14ac:dyDescent="0.3">
      <c r="A410" s="7"/>
      <c r="B410" s="1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4" ht="15.75" customHeight="1" x14ac:dyDescent="0.3">
      <c r="A411" s="7"/>
      <c r="B411" s="1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ht="15.75" customHeight="1" x14ac:dyDescent="0.3">
      <c r="A412" s="7"/>
      <c r="B412" s="1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ht="15.75" customHeight="1" x14ac:dyDescent="0.3">
      <c r="A413" s="7"/>
      <c r="B413" s="1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5.75" customHeight="1" x14ac:dyDescent="0.3">
      <c r="A414" s="7"/>
      <c r="B414" s="1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5.75" customHeight="1" x14ac:dyDescent="0.3">
      <c r="A415" s="7"/>
      <c r="B415" s="1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15.75" customHeight="1" x14ac:dyDescent="0.3">
      <c r="A416" s="7"/>
      <c r="B416" s="1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ht="15.75" customHeight="1" x14ac:dyDescent="0.3">
      <c r="A417" s="7"/>
      <c r="B417" s="1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ht="15.75" customHeight="1" x14ac:dyDescent="0.3">
      <c r="A418" s="7"/>
      <c r="B418" s="1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4" ht="15.75" customHeight="1" x14ac:dyDescent="0.3">
      <c r="A419" s="7"/>
      <c r="B419" s="1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5.75" customHeight="1" x14ac:dyDescent="0.3">
      <c r="A420" s="7"/>
      <c r="B420" s="1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ht="15.75" customHeight="1" x14ac:dyDescent="0.3">
      <c r="A421" s="7"/>
      <c r="B421" s="1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spans="1:34" ht="15.75" customHeight="1" x14ac:dyDescent="0.3">
      <c r="A422" s="7"/>
      <c r="B422" s="1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ht="15.75" customHeight="1" x14ac:dyDescent="0.3">
      <c r="A423" s="7"/>
      <c r="B423" s="1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ht="15.75" customHeight="1" x14ac:dyDescent="0.3">
      <c r="A424" s="7"/>
      <c r="B424" s="1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5.75" customHeight="1" x14ac:dyDescent="0.3">
      <c r="A425" s="7"/>
      <c r="B425" s="1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ht="15.75" customHeight="1" x14ac:dyDescent="0.3">
      <c r="A426" s="7"/>
      <c r="B426" s="1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spans="1:34" ht="15.75" customHeight="1" x14ac:dyDescent="0.3">
      <c r="A427" s="7"/>
      <c r="B427" s="1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spans="1:34" ht="15.75" customHeight="1" x14ac:dyDescent="0.3">
      <c r="A428" s="7"/>
      <c r="B428" s="1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ht="15.75" customHeight="1" x14ac:dyDescent="0.3">
      <c r="A429" s="7"/>
      <c r="B429" s="1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5.75" customHeight="1" x14ac:dyDescent="0.3">
      <c r="A430" s="7"/>
      <c r="B430" s="1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5.75" customHeight="1" x14ac:dyDescent="0.3">
      <c r="A431" s="7"/>
      <c r="B431" s="1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spans="1:34" ht="15.75" customHeight="1" x14ac:dyDescent="0.3">
      <c r="A432" s="7"/>
      <c r="B432" s="1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15.75" customHeight="1" x14ac:dyDescent="0.3">
      <c r="A433" s="7"/>
      <c r="B433" s="1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ht="15.75" customHeight="1" x14ac:dyDescent="0.3">
      <c r="A434" s="7"/>
      <c r="B434" s="1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ht="15.75" customHeight="1" x14ac:dyDescent="0.3">
      <c r="A435" s="7"/>
      <c r="B435" s="1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5.75" customHeight="1" x14ac:dyDescent="0.3">
      <c r="A436" s="7"/>
      <c r="B436" s="1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4" ht="15.75" customHeight="1" x14ac:dyDescent="0.3">
      <c r="A437" s="7"/>
      <c r="B437" s="1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ht="15.75" customHeight="1" x14ac:dyDescent="0.3">
      <c r="A438" s="7"/>
      <c r="B438" s="1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ht="15.75" customHeight="1" x14ac:dyDescent="0.3">
      <c r="A439" s="7"/>
      <c r="B439" s="1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ht="15.75" customHeight="1" x14ac:dyDescent="0.3">
      <c r="A440" s="7"/>
      <c r="B440" s="1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5.75" customHeight="1" x14ac:dyDescent="0.3">
      <c r="A441" s="7"/>
      <c r="B441" s="1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ht="15.75" customHeight="1" x14ac:dyDescent="0.3">
      <c r="A442" s="7"/>
      <c r="B442" s="1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ht="15.75" customHeight="1" x14ac:dyDescent="0.3">
      <c r="A443" s="7"/>
      <c r="B443" s="1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spans="1:34" ht="15.75" customHeight="1" x14ac:dyDescent="0.3">
      <c r="A444" s="7"/>
      <c r="B444" s="1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ht="15.75" customHeight="1" x14ac:dyDescent="0.3">
      <c r="A445" s="7"/>
      <c r="B445" s="1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5.75" customHeight="1" x14ac:dyDescent="0.3">
      <c r="A446" s="7"/>
      <c r="B446" s="1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ht="15.75" customHeight="1" x14ac:dyDescent="0.3">
      <c r="A447" s="7"/>
      <c r="B447" s="1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ht="15.75" customHeight="1" x14ac:dyDescent="0.3">
      <c r="A448" s="7"/>
      <c r="B448" s="1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ht="15.75" customHeight="1" x14ac:dyDescent="0.3">
      <c r="A449" s="7"/>
      <c r="B449" s="1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4" ht="15.75" customHeight="1" x14ac:dyDescent="0.3">
      <c r="A450" s="7"/>
      <c r="B450" s="1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5.75" customHeight="1" x14ac:dyDescent="0.3">
      <c r="A451" s="7"/>
      <c r="B451" s="1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4" ht="15.75" customHeight="1" x14ac:dyDescent="0.3">
      <c r="A452" s="7"/>
      <c r="B452" s="1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ht="15.75" customHeight="1" x14ac:dyDescent="0.3">
      <c r="A453" s="7"/>
      <c r="B453" s="1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ht="15.75" customHeight="1" x14ac:dyDescent="0.3">
      <c r="A454" s="7"/>
      <c r="B454" s="1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ht="15.75" customHeight="1" x14ac:dyDescent="0.3">
      <c r="A455" s="7"/>
      <c r="B455" s="1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5.75" customHeight="1" x14ac:dyDescent="0.3">
      <c r="A456" s="7"/>
      <c r="B456" s="1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5.75" customHeight="1" x14ac:dyDescent="0.3">
      <c r="A457" s="7"/>
      <c r="B457" s="1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4" ht="15.75" customHeight="1" x14ac:dyDescent="0.3">
      <c r="A458" s="7"/>
      <c r="B458" s="1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ht="15.75" customHeight="1" x14ac:dyDescent="0.3">
      <c r="A459" s="7"/>
      <c r="B459" s="1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ht="15.75" customHeight="1" x14ac:dyDescent="0.3">
      <c r="A460" s="7"/>
      <c r="B460" s="1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ht="15.75" customHeight="1" x14ac:dyDescent="0.3">
      <c r="A461" s="7"/>
      <c r="B461" s="1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5.75" customHeight="1" x14ac:dyDescent="0.3">
      <c r="A462" s="7"/>
      <c r="B462" s="1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5.75" customHeight="1" x14ac:dyDescent="0.3">
      <c r="A463" s="7"/>
      <c r="B463" s="1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ht="15.75" customHeight="1" x14ac:dyDescent="0.3">
      <c r="A464" s="7"/>
      <c r="B464" s="1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ht="15.75" customHeight="1" x14ac:dyDescent="0.3">
      <c r="A465" s="7"/>
      <c r="B465" s="1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15.75" customHeight="1" x14ac:dyDescent="0.3">
      <c r="A466" s="7"/>
      <c r="B466" s="1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ht="15.75" customHeight="1" x14ac:dyDescent="0.3">
      <c r="A467" s="7"/>
      <c r="B467" s="1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5.75" customHeight="1" x14ac:dyDescent="0.3">
      <c r="A468" s="7"/>
      <c r="B468" s="1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5.75" customHeight="1" x14ac:dyDescent="0.3">
      <c r="A469" s="7"/>
      <c r="B469" s="1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ht="15.75" customHeight="1" x14ac:dyDescent="0.3">
      <c r="A470" s="7"/>
      <c r="B470" s="1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4" ht="15.75" customHeight="1" x14ac:dyDescent="0.3">
      <c r="A471" s="7"/>
      <c r="B471" s="1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ht="15.75" customHeight="1" x14ac:dyDescent="0.3">
      <c r="A472" s="7"/>
      <c r="B472" s="1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spans="1:34" ht="15.75" customHeight="1" x14ac:dyDescent="0.3">
      <c r="A473" s="7"/>
      <c r="B473" s="1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5.75" customHeight="1" x14ac:dyDescent="0.3">
      <c r="A474" s="7"/>
      <c r="B474" s="1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5.75" customHeight="1" x14ac:dyDescent="0.3">
      <c r="A475" s="7"/>
      <c r="B475" s="1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ht="15.75" customHeight="1" x14ac:dyDescent="0.3">
      <c r="A476" s="7"/>
      <c r="B476" s="1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ht="15.75" customHeight="1" x14ac:dyDescent="0.3">
      <c r="A477" s="7"/>
      <c r="B477" s="1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spans="1:34" ht="15.75" customHeight="1" x14ac:dyDescent="0.3">
      <c r="A478" s="7"/>
      <c r="B478" s="1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spans="1:34" ht="15.75" customHeight="1" x14ac:dyDescent="0.3">
      <c r="A479" s="7"/>
      <c r="B479" s="1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5.75" customHeight="1" x14ac:dyDescent="0.3">
      <c r="A480" s="7"/>
      <c r="B480" s="1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ht="15.75" customHeight="1" x14ac:dyDescent="0.3">
      <c r="A481" s="7"/>
      <c r="B481" s="1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ht="15.75" customHeight="1" x14ac:dyDescent="0.3">
      <c r="A482" s="7"/>
      <c r="B482" s="1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ht="15.75" customHeight="1" x14ac:dyDescent="0.3">
      <c r="A483" s="7"/>
      <c r="B483" s="1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ht="15.75" customHeight="1" x14ac:dyDescent="0.3">
      <c r="A484" s="7"/>
      <c r="B484" s="1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5.75" customHeight="1" x14ac:dyDescent="0.3">
      <c r="A485" s="7"/>
      <c r="B485" s="1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5.75" customHeight="1" x14ac:dyDescent="0.3">
      <c r="A486" s="7"/>
      <c r="B486" s="1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15.75" customHeight="1" x14ac:dyDescent="0.3">
      <c r="A487" s="7"/>
      <c r="B487" s="1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ht="15.75" customHeight="1" x14ac:dyDescent="0.3">
      <c r="A488" s="7"/>
      <c r="B488" s="1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4" ht="15.75" customHeight="1" x14ac:dyDescent="0.3">
      <c r="A489" s="7"/>
      <c r="B489" s="1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ht="15.75" customHeight="1" x14ac:dyDescent="0.3">
      <c r="A490" s="7"/>
      <c r="B490" s="1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5.75" customHeight="1" x14ac:dyDescent="0.3">
      <c r="A491" s="7"/>
      <c r="B491" s="1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ht="15.75" customHeight="1" x14ac:dyDescent="0.3">
      <c r="A492" s="7"/>
      <c r="B492" s="1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ht="15.75" customHeight="1" x14ac:dyDescent="0.3">
      <c r="A493" s="7"/>
      <c r="B493" s="1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ht="15.75" customHeight="1" x14ac:dyDescent="0.3">
      <c r="A494" s="7"/>
      <c r="B494" s="1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ht="15.75" customHeight="1" x14ac:dyDescent="0.3">
      <c r="A495" s="7"/>
      <c r="B495" s="1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5.75" customHeight="1" x14ac:dyDescent="0.3">
      <c r="A496" s="7"/>
      <c r="B496" s="1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5.75" customHeight="1" x14ac:dyDescent="0.3">
      <c r="A497" s="7"/>
      <c r="B497" s="1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5.75" customHeight="1" x14ac:dyDescent="0.3">
      <c r="A498" s="7"/>
      <c r="B498" s="1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ht="15.75" customHeight="1" x14ac:dyDescent="0.3">
      <c r="A499" s="7"/>
      <c r="B499" s="1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ht="15.75" customHeight="1" x14ac:dyDescent="0.3">
      <c r="A500" s="7"/>
      <c r="B500" s="1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ht="15.75" customHeight="1" x14ac:dyDescent="0.3">
      <c r="A501" s="7"/>
      <c r="B501" s="1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spans="1:34" ht="15.75" customHeight="1" x14ac:dyDescent="0.3">
      <c r="A502" s="7"/>
      <c r="B502" s="1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5.75" customHeight="1" x14ac:dyDescent="0.3">
      <c r="A503" s="7"/>
      <c r="B503" s="1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5.75" customHeight="1" x14ac:dyDescent="0.3">
      <c r="A504" s="7"/>
      <c r="B504" s="1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ht="15.75" customHeight="1" x14ac:dyDescent="0.3">
      <c r="A505" s="7"/>
      <c r="B505" s="1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ht="15.75" customHeight="1" x14ac:dyDescent="0.3">
      <c r="A506" s="7"/>
      <c r="B506" s="1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ht="15.75" customHeight="1" x14ac:dyDescent="0.3">
      <c r="A507" s="7"/>
      <c r="B507" s="1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15.75" customHeight="1" x14ac:dyDescent="0.3">
      <c r="A508" s="7"/>
      <c r="B508" s="1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5.75" customHeight="1" x14ac:dyDescent="0.3">
      <c r="A509" s="7"/>
      <c r="B509" s="1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5.75" customHeight="1" x14ac:dyDescent="0.3">
      <c r="A510" s="7"/>
      <c r="B510" s="1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ht="15.75" customHeight="1" x14ac:dyDescent="0.3">
      <c r="A511" s="7"/>
      <c r="B511" s="1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ht="15.75" customHeight="1" x14ac:dyDescent="0.3">
      <c r="A512" s="7"/>
      <c r="B512" s="1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ht="15.75" customHeight="1" x14ac:dyDescent="0.3">
      <c r="A513" s="7"/>
      <c r="B513" s="1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spans="1:34" ht="15.75" customHeight="1" x14ac:dyDescent="0.3">
      <c r="A514" s="7"/>
      <c r="B514" s="1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5.75" customHeight="1" x14ac:dyDescent="0.3">
      <c r="A515" s="7"/>
      <c r="B515" s="1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ht="15.75" customHeight="1" x14ac:dyDescent="0.3">
      <c r="A516" s="7"/>
      <c r="B516" s="1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ht="15.75" customHeight="1" x14ac:dyDescent="0.3">
      <c r="A517" s="7"/>
      <c r="B517" s="1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ht="15.75" customHeight="1" x14ac:dyDescent="0.3">
      <c r="A518" s="7"/>
      <c r="B518" s="1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ht="15.75" customHeight="1" x14ac:dyDescent="0.3">
      <c r="A519" s="7"/>
      <c r="B519" s="1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5.75" customHeight="1" x14ac:dyDescent="0.3">
      <c r="A520" s="7"/>
      <c r="B520" s="1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ht="15.75" customHeight="1" x14ac:dyDescent="0.3">
      <c r="A521" s="7"/>
      <c r="B521" s="1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ht="15.75" customHeight="1" x14ac:dyDescent="0.3">
      <c r="A522" s="7"/>
      <c r="B522" s="1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ht="15.75" customHeight="1" x14ac:dyDescent="0.3">
      <c r="A523" s="7"/>
      <c r="B523" s="1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spans="1:34" ht="15.75" customHeight="1" x14ac:dyDescent="0.3">
      <c r="A524" s="7"/>
      <c r="B524" s="1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5.75" customHeight="1" x14ac:dyDescent="0.3">
      <c r="A525" s="7"/>
      <c r="B525" s="1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5.75" customHeight="1" x14ac:dyDescent="0.3">
      <c r="A526" s="7"/>
      <c r="B526" s="1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4" ht="15.75" customHeight="1" x14ac:dyDescent="0.3">
      <c r="A527" s="7"/>
      <c r="B527" s="1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4" ht="15.75" customHeight="1" x14ac:dyDescent="0.3">
      <c r="A528" s="7"/>
      <c r="B528" s="1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ht="15.75" customHeight="1" x14ac:dyDescent="0.3">
      <c r="A529" s="7"/>
      <c r="B529" s="1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ht="15.75" customHeight="1" x14ac:dyDescent="0.3">
      <c r="A530" s="7"/>
      <c r="B530" s="1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ht="15.75" customHeight="1" x14ac:dyDescent="0.3">
      <c r="A531" s="7"/>
      <c r="B531" s="1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ht="15.75" customHeight="1" x14ac:dyDescent="0.3">
      <c r="A532" s="7"/>
      <c r="B532" s="1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5.75" customHeight="1" x14ac:dyDescent="0.3">
      <c r="A533" s="7"/>
      <c r="B533" s="1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spans="1:34" ht="15.75" customHeight="1" x14ac:dyDescent="0.3">
      <c r="A534" s="7"/>
      <c r="B534" s="1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spans="1:34" ht="15.75" customHeight="1" x14ac:dyDescent="0.3">
      <c r="A535" s="7"/>
      <c r="B535" s="1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ht="15.75" customHeight="1" x14ac:dyDescent="0.3">
      <c r="A536" s="7"/>
      <c r="B536" s="1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ht="15.75" customHeight="1" x14ac:dyDescent="0.3">
      <c r="A537" s="7"/>
      <c r="B537" s="1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ht="15.75" customHeight="1" x14ac:dyDescent="0.3">
      <c r="A538" s="7"/>
      <c r="B538" s="1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ht="15.75" customHeight="1" x14ac:dyDescent="0.3">
      <c r="A539" s="7"/>
      <c r="B539" s="1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5.75" customHeight="1" x14ac:dyDescent="0.3">
      <c r="A540" s="7"/>
      <c r="B540" s="1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ht="15.75" customHeight="1" x14ac:dyDescent="0.3">
      <c r="A541" s="7"/>
      <c r="B541" s="1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spans="1:34" ht="15.75" customHeight="1" x14ac:dyDescent="0.3">
      <c r="A542" s="7"/>
      <c r="B542" s="1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spans="1:34" ht="15.75" customHeight="1" x14ac:dyDescent="0.3">
      <c r="A543" s="7"/>
      <c r="B543" s="1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ht="15.75" customHeight="1" x14ac:dyDescent="0.3">
      <c r="A544" s="7"/>
      <c r="B544" s="1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ht="15.75" customHeight="1" x14ac:dyDescent="0.3">
      <c r="A545" s="7"/>
      <c r="B545" s="1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ht="15.75" customHeight="1" x14ac:dyDescent="0.3">
      <c r="A546" s="7"/>
      <c r="B546" s="1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5.75" customHeight="1" x14ac:dyDescent="0.3">
      <c r="A547" s="7"/>
      <c r="B547" s="1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ht="15.75" customHeight="1" x14ac:dyDescent="0.3">
      <c r="A548" s="7"/>
      <c r="B548" s="1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spans="1:34" ht="15.75" customHeight="1" x14ac:dyDescent="0.3">
      <c r="A549" s="7"/>
      <c r="B549" s="1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ht="15.75" customHeight="1" x14ac:dyDescent="0.3">
      <c r="A550" s="7"/>
      <c r="B550" s="1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4" ht="15.75" customHeight="1" x14ac:dyDescent="0.3">
      <c r="A551" s="7"/>
      <c r="B551" s="1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5.75" customHeight="1" x14ac:dyDescent="0.3">
      <c r="A552" s="7"/>
      <c r="B552" s="1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spans="1:34" ht="15.75" customHeight="1" x14ac:dyDescent="0.3">
      <c r="A553" s="7"/>
      <c r="B553" s="1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ht="15.75" customHeight="1" x14ac:dyDescent="0.3">
      <c r="A554" s="7"/>
      <c r="B554" s="1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ht="15.75" customHeight="1" x14ac:dyDescent="0.3">
      <c r="A555" s="7"/>
      <c r="B555" s="1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ht="15.75" customHeight="1" x14ac:dyDescent="0.3">
      <c r="A556" s="7"/>
      <c r="B556" s="1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5.75" customHeight="1" x14ac:dyDescent="0.3">
      <c r="A557" s="7"/>
      <c r="B557" s="1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5.75" customHeight="1" x14ac:dyDescent="0.3">
      <c r="A558" s="7"/>
      <c r="B558" s="1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ht="15.75" customHeight="1" x14ac:dyDescent="0.3">
      <c r="A559" s="7"/>
      <c r="B559" s="1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ht="15.75" customHeight="1" x14ac:dyDescent="0.3">
      <c r="A560" s="7"/>
      <c r="B560" s="1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ht="15.75" customHeight="1" x14ac:dyDescent="0.3">
      <c r="A561" s="7"/>
      <c r="B561" s="1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ht="15.75" customHeight="1" x14ac:dyDescent="0.3">
      <c r="A562" s="7"/>
      <c r="B562" s="1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5.75" customHeight="1" x14ac:dyDescent="0.3">
      <c r="A563" s="7"/>
      <c r="B563" s="1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ht="15.75" customHeight="1" x14ac:dyDescent="0.3">
      <c r="A564" s="7"/>
      <c r="B564" s="1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ht="15.75" customHeight="1" x14ac:dyDescent="0.3">
      <c r="A565" s="7"/>
      <c r="B565" s="1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spans="1:34" ht="15.75" customHeight="1" x14ac:dyDescent="0.3">
      <c r="A566" s="7"/>
      <c r="B566" s="1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ht="15.75" customHeight="1" x14ac:dyDescent="0.3">
      <c r="A567" s="7"/>
      <c r="B567" s="1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5.75" customHeight="1" x14ac:dyDescent="0.3">
      <c r="A568" s="7"/>
      <c r="B568" s="1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ht="15.75" customHeight="1" x14ac:dyDescent="0.3">
      <c r="A569" s="7"/>
      <c r="B569" s="1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ht="15.75" customHeight="1" x14ac:dyDescent="0.3">
      <c r="A570" s="7"/>
      <c r="B570" s="1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ht="15.75" customHeight="1" x14ac:dyDescent="0.3">
      <c r="A571" s="7"/>
      <c r="B571" s="1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15.75" customHeight="1" x14ac:dyDescent="0.3">
      <c r="A572" s="7"/>
      <c r="B572" s="1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5.75" customHeight="1" x14ac:dyDescent="0.3">
      <c r="A573" s="7"/>
      <c r="B573" s="1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5.75" customHeight="1" x14ac:dyDescent="0.3">
      <c r="A574" s="7"/>
      <c r="B574" s="1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5.75" customHeight="1" x14ac:dyDescent="0.3">
      <c r="A575" s="7"/>
      <c r="B575" s="1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5.75" customHeight="1" x14ac:dyDescent="0.3">
      <c r="A576" s="7"/>
      <c r="B576" s="1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5.75" customHeight="1" x14ac:dyDescent="0.3">
      <c r="A577" s="7"/>
      <c r="B577" s="1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5.75" customHeight="1" x14ac:dyDescent="0.3">
      <c r="A578" s="7"/>
      <c r="B578" s="1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5.75" customHeight="1" x14ac:dyDescent="0.3">
      <c r="A579" s="7"/>
      <c r="B579" s="1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5.75" customHeight="1" x14ac:dyDescent="0.3">
      <c r="A580" s="7"/>
      <c r="B580" s="1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5.75" customHeight="1" x14ac:dyDescent="0.3">
      <c r="A581" s="7"/>
      <c r="B581" s="1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5.75" customHeight="1" x14ac:dyDescent="0.3">
      <c r="A582" s="7"/>
      <c r="B582" s="1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5.75" customHeight="1" x14ac:dyDescent="0.3">
      <c r="A583" s="7"/>
      <c r="B583" s="1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5.75" customHeight="1" x14ac:dyDescent="0.3">
      <c r="A584" s="7"/>
      <c r="B584" s="1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5.75" customHeight="1" x14ac:dyDescent="0.3">
      <c r="A585" s="7"/>
      <c r="B585" s="1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5.75" customHeight="1" x14ac:dyDescent="0.3">
      <c r="A586" s="7"/>
      <c r="B586" s="1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5.75" customHeight="1" x14ac:dyDescent="0.3">
      <c r="A587" s="7"/>
      <c r="B587" s="1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5.75" customHeight="1" x14ac:dyDescent="0.3">
      <c r="A588" s="7"/>
      <c r="B588" s="1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5.75" customHeight="1" x14ac:dyDescent="0.3">
      <c r="A589" s="7"/>
      <c r="B589" s="1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5.75" customHeight="1" x14ac:dyDescent="0.3">
      <c r="A590" s="7"/>
      <c r="B590" s="1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5.75" customHeight="1" x14ac:dyDescent="0.3">
      <c r="A591" s="7"/>
      <c r="B591" s="1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5.75" customHeight="1" x14ac:dyDescent="0.3">
      <c r="A592" s="7"/>
      <c r="B592" s="1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5.75" customHeight="1" x14ac:dyDescent="0.3">
      <c r="A593" s="7"/>
      <c r="B593" s="1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5.75" customHeight="1" x14ac:dyDescent="0.3">
      <c r="A594" s="7"/>
      <c r="B594" s="1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5.75" customHeight="1" x14ac:dyDescent="0.3">
      <c r="A595" s="7"/>
      <c r="B595" s="1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5.75" customHeight="1" x14ac:dyDescent="0.3">
      <c r="A596" s="7"/>
      <c r="B596" s="1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5.75" customHeight="1" x14ac:dyDescent="0.3">
      <c r="A597" s="7"/>
      <c r="B597" s="1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5.75" customHeight="1" x14ac:dyDescent="0.3">
      <c r="A598" s="7"/>
      <c r="B598" s="1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5.75" customHeight="1" x14ac:dyDescent="0.3">
      <c r="A599" s="7"/>
      <c r="B599" s="1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5.75" customHeight="1" x14ac:dyDescent="0.3">
      <c r="A600" s="7"/>
      <c r="B600" s="1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5.75" customHeight="1" x14ac:dyDescent="0.3">
      <c r="A601" s="7"/>
      <c r="B601" s="1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5.75" customHeight="1" x14ac:dyDescent="0.3">
      <c r="A602" s="7"/>
      <c r="B602" s="1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5.75" customHeight="1" x14ac:dyDescent="0.3">
      <c r="A603" s="7"/>
      <c r="B603" s="1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5.75" customHeight="1" x14ac:dyDescent="0.3">
      <c r="A604" s="7"/>
      <c r="B604" s="1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5.75" customHeight="1" x14ac:dyDescent="0.3">
      <c r="A605" s="7"/>
      <c r="B605" s="1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5.75" customHeight="1" x14ac:dyDescent="0.3">
      <c r="A606" s="7"/>
      <c r="B606" s="1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5.75" customHeight="1" x14ac:dyDescent="0.3">
      <c r="A607" s="7"/>
      <c r="B607" s="1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5.75" customHeight="1" x14ac:dyDescent="0.3">
      <c r="A608" s="7"/>
      <c r="B608" s="1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5.75" customHeight="1" x14ac:dyDescent="0.3">
      <c r="A609" s="7"/>
      <c r="B609" s="1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5.75" customHeight="1" x14ac:dyDescent="0.3">
      <c r="A610" s="7"/>
      <c r="B610" s="1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5.75" customHeight="1" x14ac:dyDescent="0.3">
      <c r="A611" s="7"/>
      <c r="B611" s="1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5.75" customHeight="1" x14ac:dyDescent="0.3">
      <c r="A612" s="7"/>
      <c r="B612" s="1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5.75" customHeight="1" x14ac:dyDescent="0.3">
      <c r="A613" s="7"/>
      <c r="B613" s="1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5.75" customHeight="1" x14ac:dyDescent="0.3">
      <c r="A614" s="7"/>
      <c r="B614" s="1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5.75" customHeight="1" x14ac:dyDescent="0.3">
      <c r="A615" s="7"/>
      <c r="B615" s="1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5.75" customHeight="1" x14ac:dyDescent="0.3">
      <c r="A616" s="7"/>
      <c r="B616" s="1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5.75" customHeight="1" x14ac:dyDescent="0.3">
      <c r="A617" s="7"/>
      <c r="B617" s="1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5.75" customHeight="1" x14ac:dyDescent="0.3">
      <c r="A618" s="7"/>
      <c r="B618" s="1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5.75" customHeight="1" x14ac:dyDescent="0.3">
      <c r="A619" s="7"/>
      <c r="B619" s="1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5.75" customHeight="1" x14ac:dyDescent="0.3">
      <c r="A620" s="7"/>
      <c r="B620" s="1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5.75" customHeight="1" x14ac:dyDescent="0.3">
      <c r="A621" s="7"/>
      <c r="B621" s="1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5.75" customHeight="1" x14ac:dyDescent="0.3">
      <c r="A622" s="7"/>
      <c r="B622" s="1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5.75" customHeight="1" x14ac:dyDescent="0.3">
      <c r="A623" s="7"/>
      <c r="B623" s="1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5.75" customHeight="1" x14ac:dyDescent="0.3">
      <c r="A624" s="7"/>
      <c r="B624" s="1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5.75" customHeight="1" x14ac:dyDescent="0.3">
      <c r="A625" s="7"/>
      <c r="B625" s="1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5.75" customHeight="1" x14ac:dyDescent="0.3">
      <c r="A626" s="7"/>
      <c r="B626" s="1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5.75" customHeight="1" x14ac:dyDescent="0.3">
      <c r="A627" s="7"/>
      <c r="B627" s="1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5.75" customHeight="1" x14ac:dyDescent="0.3">
      <c r="A628" s="7"/>
      <c r="B628" s="1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5.75" customHeight="1" x14ac:dyDescent="0.3">
      <c r="A629" s="7"/>
      <c r="B629" s="1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5.75" customHeight="1" x14ac:dyDescent="0.3">
      <c r="A630" s="7"/>
      <c r="B630" s="1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5.75" customHeight="1" x14ac:dyDescent="0.3">
      <c r="A631" s="7"/>
      <c r="B631" s="1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5.75" customHeight="1" x14ac:dyDescent="0.3">
      <c r="A632" s="7"/>
      <c r="B632" s="1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5.75" customHeight="1" x14ac:dyDescent="0.3">
      <c r="A633" s="7"/>
      <c r="B633" s="1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5.75" customHeight="1" x14ac:dyDescent="0.3">
      <c r="A634" s="7"/>
      <c r="B634" s="1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5.75" customHeight="1" x14ac:dyDescent="0.3">
      <c r="A635" s="7"/>
      <c r="B635" s="1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5.75" customHeight="1" x14ac:dyDescent="0.3">
      <c r="A636" s="7"/>
      <c r="B636" s="1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5.75" customHeight="1" x14ac:dyDescent="0.3">
      <c r="A637" s="7"/>
      <c r="B637" s="1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5.75" customHeight="1" x14ac:dyDescent="0.3">
      <c r="A638" s="7"/>
      <c r="B638" s="1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5.75" customHeight="1" x14ac:dyDescent="0.3">
      <c r="A639" s="7"/>
      <c r="B639" s="1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5.75" customHeight="1" x14ac:dyDescent="0.3">
      <c r="A640" s="7"/>
      <c r="B640" s="1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5.75" customHeight="1" x14ac:dyDescent="0.3">
      <c r="A641" s="7"/>
      <c r="B641" s="1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5.75" customHeight="1" x14ac:dyDescent="0.3">
      <c r="A642" s="7"/>
      <c r="B642" s="1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5.75" customHeight="1" x14ac:dyDescent="0.3">
      <c r="A643" s="7"/>
      <c r="B643" s="1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5.75" customHeight="1" x14ac:dyDescent="0.3">
      <c r="A644" s="7"/>
      <c r="B644" s="1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5.75" customHeight="1" x14ac:dyDescent="0.3">
      <c r="A645" s="7"/>
      <c r="B645" s="1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5.75" customHeight="1" x14ac:dyDescent="0.3">
      <c r="A646" s="7"/>
      <c r="B646" s="1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5.75" customHeight="1" x14ac:dyDescent="0.3">
      <c r="A647" s="7"/>
      <c r="B647" s="1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5.75" customHeight="1" x14ac:dyDescent="0.3">
      <c r="A648" s="7"/>
      <c r="B648" s="1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5.75" customHeight="1" x14ac:dyDescent="0.3">
      <c r="A649" s="7"/>
      <c r="B649" s="1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5.75" customHeight="1" x14ac:dyDescent="0.3">
      <c r="A650" s="7"/>
      <c r="B650" s="1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5.75" customHeight="1" x14ac:dyDescent="0.3">
      <c r="A651" s="7"/>
      <c r="B651" s="1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5.75" customHeight="1" x14ac:dyDescent="0.3">
      <c r="A652" s="7"/>
      <c r="B652" s="1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5.75" customHeight="1" x14ac:dyDescent="0.3">
      <c r="A653" s="7"/>
      <c r="B653" s="1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5.75" customHeight="1" x14ac:dyDescent="0.3">
      <c r="A654" s="7"/>
      <c r="B654" s="1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5.75" customHeight="1" x14ac:dyDescent="0.3">
      <c r="A655" s="7"/>
      <c r="B655" s="1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5.75" customHeight="1" x14ac:dyDescent="0.3">
      <c r="A656" s="7"/>
      <c r="B656" s="1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5.75" customHeight="1" x14ac:dyDescent="0.3">
      <c r="A657" s="7"/>
      <c r="B657" s="1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5.75" customHeight="1" x14ac:dyDescent="0.3">
      <c r="A658" s="7"/>
      <c r="B658" s="1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5.75" customHeight="1" x14ac:dyDescent="0.3">
      <c r="A659" s="7"/>
      <c r="B659" s="1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5.75" customHeight="1" x14ac:dyDescent="0.3">
      <c r="A660" s="7"/>
      <c r="B660" s="1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5.75" customHeight="1" x14ac:dyDescent="0.3">
      <c r="A661" s="7"/>
      <c r="B661" s="1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5.75" customHeight="1" x14ac:dyDescent="0.3">
      <c r="A662" s="7"/>
      <c r="B662" s="1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5.75" customHeight="1" x14ac:dyDescent="0.3">
      <c r="A663" s="7"/>
      <c r="B663" s="1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5.75" customHeight="1" x14ac:dyDescent="0.3">
      <c r="A664" s="7"/>
      <c r="B664" s="1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5.75" customHeight="1" x14ac:dyDescent="0.3">
      <c r="A665" s="7"/>
      <c r="B665" s="1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5.75" customHeight="1" x14ac:dyDescent="0.3">
      <c r="A666" s="7"/>
      <c r="B666" s="1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5.75" customHeight="1" x14ac:dyDescent="0.3">
      <c r="A667" s="7"/>
      <c r="B667" s="1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5.75" customHeight="1" x14ac:dyDescent="0.3">
      <c r="A668" s="7"/>
      <c r="B668" s="1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5.75" customHeight="1" x14ac:dyDescent="0.3">
      <c r="A669" s="7"/>
      <c r="B669" s="1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5.75" customHeight="1" x14ac:dyDescent="0.3">
      <c r="A670" s="7"/>
      <c r="B670" s="1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5.75" customHeight="1" x14ac:dyDescent="0.3">
      <c r="A671" s="7"/>
      <c r="B671" s="1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5.75" customHeight="1" x14ac:dyDescent="0.3">
      <c r="A672" s="7"/>
      <c r="B672" s="1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5.75" customHeight="1" x14ac:dyDescent="0.3">
      <c r="A673" s="7"/>
      <c r="B673" s="1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5.75" customHeight="1" x14ac:dyDescent="0.3">
      <c r="A674" s="7"/>
      <c r="B674" s="1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5.75" customHeight="1" x14ac:dyDescent="0.3">
      <c r="A675" s="7"/>
      <c r="B675" s="1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5.75" customHeight="1" x14ac:dyDescent="0.3">
      <c r="A676" s="7"/>
      <c r="B676" s="1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5.75" customHeight="1" x14ac:dyDescent="0.3">
      <c r="A677" s="7"/>
      <c r="B677" s="1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5.75" customHeight="1" x14ac:dyDescent="0.3">
      <c r="A678" s="7"/>
      <c r="B678" s="1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5.75" customHeight="1" x14ac:dyDescent="0.3">
      <c r="A679" s="7"/>
      <c r="B679" s="1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5.75" customHeight="1" x14ac:dyDescent="0.3">
      <c r="A680" s="7"/>
      <c r="B680" s="1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5.75" customHeight="1" x14ac:dyDescent="0.3">
      <c r="A681" s="7"/>
      <c r="B681" s="1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5.75" customHeight="1" x14ac:dyDescent="0.3">
      <c r="A682" s="7"/>
      <c r="B682" s="1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5.75" customHeight="1" x14ac:dyDescent="0.3">
      <c r="A683" s="7"/>
      <c r="B683" s="1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5.75" customHeight="1" x14ac:dyDescent="0.3">
      <c r="A684" s="7"/>
      <c r="B684" s="1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5.75" customHeight="1" x14ac:dyDescent="0.3">
      <c r="A685" s="7"/>
      <c r="B685" s="1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5.75" customHeight="1" x14ac:dyDescent="0.3">
      <c r="A686" s="7"/>
      <c r="B686" s="1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5.75" customHeight="1" x14ac:dyDescent="0.3">
      <c r="A687" s="7"/>
      <c r="B687" s="1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5.75" customHeight="1" x14ac:dyDescent="0.3">
      <c r="A688" s="7"/>
      <c r="B688" s="1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5.75" customHeight="1" x14ac:dyDescent="0.3">
      <c r="A689" s="7"/>
      <c r="B689" s="1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5.75" customHeight="1" x14ac:dyDescent="0.3">
      <c r="A690" s="7"/>
      <c r="B690" s="1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5.75" customHeight="1" x14ac:dyDescent="0.3">
      <c r="A691" s="7"/>
      <c r="B691" s="1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5.75" customHeight="1" x14ac:dyDescent="0.3">
      <c r="A692" s="7"/>
      <c r="B692" s="1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5.75" customHeight="1" x14ac:dyDescent="0.3">
      <c r="A693" s="7"/>
      <c r="B693" s="1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5.75" customHeight="1" x14ac:dyDescent="0.3">
      <c r="A694" s="7"/>
      <c r="B694" s="1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5.75" customHeight="1" x14ac:dyDescent="0.3">
      <c r="A695" s="7"/>
      <c r="B695" s="1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5.75" customHeight="1" x14ac:dyDescent="0.3">
      <c r="A696" s="7"/>
      <c r="B696" s="1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5.75" customHeight="1" x14ac:dyDescent="0.3">
      <c r="A697" s="7"/>
      <c r="B697" s="1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5.75" customHeight="1" x14ac:dyDescent="0.3">
      <c r="A698" s="7"/>
      <c r="B698" s="1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5.75" customHeight="1" x14ac:dyDescent="0.3">
      <c r="A699" s="7"/>
      <c r="B699" s="1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5.75" customHeight="1" x14ac:dyDescent="0.3">
      <c r="A700" s="7"/>
      <c r="B700" s="1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5.75" customHeight="1" x14ac:dyDescent="0.3">
      <c r="A701" s="7"/>
      <c r="B701" s="1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5.75" customHeight="1" x14ac:dyDescent="0.3">
      <c r="A702" s="7"/>
      <c r="B702" s="1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5.75" customHeight="1" x14ac:dyDescent="0.3">
      <c r="A703" s="7"/>
      <c r="B703" s="1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5.75" customHeight="1" x14ac:dyDescent="0.3">
      <c r="A704" s="7"/>
      <c r="B704" s="1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5.75" customHeight="1" x14ac:dyDescent="0.3">
      <c r="A705" s="7"/>
      <c r="B705" s="1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5.75" customHeight="1" x14ac:dyDescent="0.3">
      <c r="A706" s="7"/>
      <c r="B706" s="1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5.75" customHeight="1" x14ac:dyDescent="0.3">
      <c r="A707" s="7"/>
      <c r="B707" s="1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5.75" customHeight="1" x14ac:dyDescent="0.3">
      <c r="A708" s="7"/>
      <c r="B708" s="1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5.75" customHeight="1" x14ac:dyDescent="0.3">
      <c r="A709" s="7"/>
      <c r="B709" s="1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5.75" customHeight="1" x14ac:dyDescent="0.3">
      <c r="A710" s="7"/>
      <c r="B710" s="1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5.75" customHeight="1" x14ac:dyDescent="0.3">
      <c r="A711" s="7"/>
      <c r="B711" s="1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5.75" customHeight="1" x14ac:dyDescent="0.3">
      <c r="A712" s="7"/>
      <c r="B712" s="1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5.75" customHeight="1" x14ac:dyDescent="0.3">
      <c r="A713" s="7"/>
      <c r="B713" s="1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5.75" customHeight="1" x14ac:dyDescent="0.3">
      <c r="A714" s="7"/>
      <c r="B714" s="1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5.75" customHeight="1" x14ac:dyDescent="0.3">
      <c r="A715" s="7"/>
      <c r="B715" s="1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5.75" customHeight="1" x14ac:dyDescent="0.3">
      <c r="A716" s="7"/>
      <c r="B716" s="1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5.75" customHeight="1" x14ac:dyDescent="0.3">
      <c r="A717" s="7"/>
      <c r="B717" s="1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5.75" customHeight="1" x14ac:dyDescent="0.3">
      <c r="A718" s="7"/>
      <c r="B718" s="1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5.75" customHeight="1" x14ac:dyDescent="0.3">
      <c r="A719" s="7"/>
      <c r="B719" s="1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5.75" customHeight="1" x14ac:dyDescent="0.3">
      <c r="A720" s="7"/>
      <c r="B720" s="1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5.75" customHeight="1" x14ac:dyDescent="0.3">
      <c r="A721" s="7"/>
      <c r="B721" s="1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5.75" customHeight="1" x14ac:dyDescent="0.3">
      <c r="A722" s="7"/>
      <c r="B722" s="1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5.75" customHeight="1" x14ac:dyDescent="0.3">
      <c r="A723" s="7"/>
      <c r="B723" s="1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5.75" customHeight="1" x14ac:dyDescent="0.3">
      <c r="A724" s="7"/>
      <c r="B724" s="1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5.75" customHeight="1" x14ac:dyDescent="0.3">
      <c r="A725" s="7"/>
      <c r="B725" s="1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5.75" customHeight="1" x14ac:dyDescent="0.3">
      <c r="A726" s="7"/>
      <c r="B726" s="1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5.75" customHeight="1" x14ac:dyDescent="0.3">
      <c r="A727" s="7"/>
      <c r="B727" s="1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5.75" customHeight="1" x14ac:dyDescent="0.3">
      <c r="A728" s="7"/>
      <c r="B728" s="1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5.75" customHeight="1" x14ac:dyDescent="0.3">
      <c r="A729" s="7"/>
      <c r="B729" s="1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5.75" customHeight="1" x14ac:dyDescent="0.3">
      <c r="A730" s="7"/>
      <c r="B730" s="1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5.75" customHeight="1" x14ac:dyDescent="0.3">
      <c r="A731" s="7"/>
      <c r="B731" s="1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5.75" customHeight="1" x14ac:dyDescent="0.3">
      <c r="A732" s="7"/>
      <c r="B732" s="1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5.75" customHeight="1" x14ac:dyDescent="0.3">
      <c r="A733" s="7"/>
      <c r="B733" s="1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5.75" customHeight="1" x14ac:dyDescent="0.3">
      <c r="A734" s="7"/>
      <c r="B734" s="1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5.75" customHeight="1" x14ac:dyDescent="0.3">
      <c r="A735" s="7"/>
      <c r="B735" s="1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5.75" customHeight="1" x14ac:dyDescent="0.3">
      <c r="A736" s="7"/>
      <c r="B736" s="1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5.75" customHeight="1" x14ac:dyDescent="0.3">
      <c r="A737" s="7"/>
      <c r="B737" s="1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5.75" customHeight="1" x14ac:dyDescent="0.3">
      <c r="A738" s="7"/>
      <c r="B738" s="1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5.75" customHeight="1" x14ac:dyDescent="0.3">
      <c r="A739" s="7"/>
      <c r="B739" s="1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5.75" customHeight="1" x14ac:dyDescent="0.3">
      <c r="A740" s="7"/>
      <c r="B740" s="1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5.75" customHeight="1" x14ac:dyDescent="0.3">
      <c r="A741" s="7"/>
      <c r="B741" s="1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5.75" customHeight="1" x14ac:dyDescent="0.3">
      <c r="A742" s="7"/>
      <c r="B742" s="1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5.75" customHeight="1" x14ac:dyDescent="0.3">
      <c r="A743" s="7"/>
      <c r="B743" s="1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5.75" customHeight="1" x14ac:dyDescent="0.3">
      <c r="A744" s="7"/>
      <c r="B744" s="1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5.75" customHeight="1" x14ac:dyDescent="0.3">
      <c r="A745" s="7"/>
      <c r="B745" s="1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5.75" customHeight="1" x14ac:dyDescent="0.3">
      <c r="A746" s="7"/>
      <c r="B746" s="1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5.75" customHeight="1" x14ac:dyDescent="0.3">
      <c r="A747" s="7"/>
      <c r="B747" s="1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5.75" customHeight="1" x14ac:dyDescent="0.3">
      <c r="A748" s="7"/>
      <c r="B748" s="1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5.75" customHeight="1" x14ac:dyDescent="0.3">
      <c r="A749" s="7"/>
      <c r="B749" s="1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5.75" customHeight="1" x14ac:dyDescent="0.3">
      <c r="A750" s="7"/>
      <c r="B750" s="1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5.75" customHeight="1" x14ac:dyDescent="0.3">
      <c r="A751" s="7"/>
      <c r="B751" s="1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5.75" customHeight="1" x14ac:dyDescent="0.3">
      <c r="A752" s="7"/>
      <c r="B752" s="1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5.75" customHeight="1" x14ac:dyDescent="0.3">
      <c r="A753" s="7"/>
      <c r="B753" s="1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5.75" customHeight="1" x14ac:dyDescent="0.3">
      <c r="A754" s="7"/>
      <c r="B754" s="1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5.75" customHeight="1" x14ac:dyDescent="0.3">
      <c r="A755" s="7"/>
      <c r="B755" s="1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5.75" customHeight="1" x14ac:dyDescent="0.3">
      <c r="A756" s="7"/>
      <c r="B756" s="1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5.75" customHeight="1" x14ac:dyDescent="0.3">
      <c r="A757" s="7"/>
      <c r="B757" s="1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5.75" customHeight="1" x14ac:dyDescent="0.3">
      <c r="A758" s="7"/>
      <c r="B758" s="1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5.75" customHeight="1" x14ac:dyDescent="0.3">
      <c r="A759" s="7"/>
      <c r="B759" s="1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5.75" customHeight="1" x14ac:dyDescent="0.3">
      <c r="A760" s="7"/>
      <c r="B760" s="1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5.75" customHeight="1" x14ac:dyDescent="0.3">
      <c r="A761" s="7"/>
      <c r="B761" s="1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5.75" customHeight="1" x14ac:dyDescent="0.3">
      <c r="A762" s="7"/>
      <c r="B762" s="1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5.75" customHeight="1" x14ac:dyDescent="0.3">
      <c r="A763" s="7"/>
      <c r="B763" s="1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5.75" customHeight="1" x14ac:dyDescent="0.3">
      <c r="A764" s="7"/>
      <c r="B764" s="1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5.75" customHeight="1" x14ac:dyDescent="0.3">
      <c r="A765" s="7"/>
      <c r="B765" s="1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5.75" customHeight="1" x14ac:dyDescent="0.3">
      <c r="A766" s="7"/>
      <c r="B766" s="1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5.75" customHeight="1" x14ac:dyDescent="0.3">
      <c r="A767" s="7"/>
      <c r="B767" s="1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5.75" customHeight="1" x14ac:dyDescent="0.3">
      <c r="A768" s="7"/>
      <c r="B768" s="1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5.75" customHeight="1" x14ac:dyDescent="0.3">
      <c r="A769" s="7"/>
      <c r="B769" s="1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5.75" customHeight="1" x14ac:dyDescent="0.3">
      <c r="A770" s="7"/>
      <c r="B770" s="1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5.75" customHeight="1" x14ac:dyDescent="0.3">
      <c r="A771" s="7"/>
      <c r="B771" s="1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5.75" customHeight="1" x14ac:dyDescent="0.3">
      <c r="A772" s="7"/>
      <c r="B772" s="1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5.75" customHeight="1" x14ac:dyDescent="0.3">
      <c r="A773" s="7"/>
      <c r="B773" s="1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5.75" customHeight="1" x14ac:dyDescent="0.3">
      <c r="A774" s="7"/>
      <c r="B774" s="1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5.75" customHeight="1" x14ac:dyDescent="0.3">
      <c r="A775" s="7"/>
      <c r="B775" s="1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5.75" customHeight="1" x14ac:dyDescent="0.3">
      <c r="A776" s="7"/>
      <c r="B776" s="1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5.75" customHeight="1" x14ac:dyDescent="0.3">
      <c r="A777" s="7"/>
      <c r="B777" s="1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5.75" customHeight="1" x14ac:dyDescent="0.3">
      <c r="A778" s="7"/>
      <c r="B778" s="1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5.75" customHeight="1" x14ac:dyDescent="0.3">
      <c r="A779" s="7"/>
      <c r="B779" s="1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5.75" customHeight="1" x14ac:dyDescent="0.3">
      <c r="A780" s="7"/>
      <c r="B780" s="1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5.75" customHeight="1" x14ac:dyDescent="0.3">
      <c r="A781" s="7"/>
      <c r="B781" s="1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5.75" customHeight="1" x14ac:dyDescent="0.3">
      <c r="A782" s="7"/>
      <c r="B782" s="1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5.75" customHeight="1" x14ac:dyDescent="0.3">
      <c r="A783" s="7"/>
      <c r="B783" s="1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5.75" customHeight="1" x14ac:dyDescent="0.3">
      <c r="A784" s="7"/>
      <c r="B784" s="1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5.75" customHeight="1" x14ac:dyDescent="0.3">
      <c r="A785" s="7"/>
      <c r="B785" s="1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5.75" customHeight="1" x14ac:dyDescent="0.3">
      <c r="A786" s="7"/>
      <c r="B786" s="1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5.75" customHeight="1" x14ac:dyDescent="0.3">
      <c r="A787" s="7"/>
      <c r="B787" s="1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5.75" customHeight="1" x14ac:dyDescent="0.3">
      <c r="A788" s="7"/>
      <c r="B788" s="1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5.75" customHeight="1" x14ac:dyDescent="0.3">
      <c r="A789" s="7"/>
      <c r="B789" s="1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5.75" customHeight="1" x14ac:dyDescent="0.3">
      <c r="A790" s="7"/>
      <c r="B790" s="1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5.75" customHeight="1" x14ac:dyDescent="0.3">
      <c r="A791" s="7"/>
      <c r="B791" s="1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5.75" customHeight="1" x14ac:dyDescent="0.3">
      <c r="A792" s="7"/>
      <c r="B792" s="1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5.75" customHeight="1" x14ac:dyDescent="0.3">
      <c r="A793" s="7"/>
      <c r="B793" s="1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5.75" customHeight="1" x14ac:dyDescent="0.3">
      <c r="A794" s="7"/>
      <c r="B794" s="1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5.75" customHeight="1" x14ac:dyDescent="0.3">
      <c r="A795" s="7"/>
      <c r="B795" s="1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5.75" customHeight="1" x14ac:dyDescent="0.3">
      <c r="A796" s="7"/>
      <c r="B796" s="1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5.75" customHeight="1" x14ac:dyDescent="0.3">
      <c r="A797" s="7"/>
      <c r="B797" s="1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5.75" customHeight="1" x14ac:dyDescent="0.3">
      <c r="A798" s="7"/>
      <c r="B798" s="1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5.75" customHeight="1" x14ac:dyDescent="0.3">
      <c r="A799" s="7"/>
      <c r="B799" s="1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5.75" customHeight="1" x14ac:dyDescent="0.3">
      <c r="A800" s="7"/>
      <c r="B800" s="1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5.75" customHeight="1" x14ac:dyDescent="0.3">
      <c r="A801" s="7"/>
      <c r="B801" s="1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5.75" customHeight="1" x14ac:dyDescent="0.3">
      <c r="A802" s="7"/>
      <c r="B802" s="1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5.75" customHeight="1" x14ac:dyDescent="0.3">
      <c r="A803" s="7"/>
      <c r="B803" s="1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5.75" customHeight="1" x14ac:dyDescent="0.3">
      <c r="A804" s="7"/>
      <c r="B804" s="1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5.75" customHeight="1" x14ac:dyDescent="0.3">
      <c r="A805" s="7"/>
      <c r="B805" s="1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5.75" customHeight="1" x14ac:dyDescent="0.3">
      <c r="A806" s="7"/>
      <c r="B806" s="1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5.75" customHeight="1" x14ac:dyDescent="0.3">
      <c r="A807" s="7"/>
      <c r="B807" s="1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5.75" customHeight="1" x14ac:dyDescent="0.3">
      <c r="A808" s="7"/>
      <c r="B808" s="1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5.75" customHeight="1" x14ac:dyDescent="0.3">
      <c r="A809" s="7"/>
      <c r="B809" s="1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5.75" customHeight="1" x14ac:dyDescent="0.3">
      <c r="A810" s="7"/>
      <c r="B810" s="1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5.75" customHeight="1" x14ac:dyDescent="0.3">
      <c r="A811" s="7"/>
      <c r="B811" s="1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5.75" customHeight="1" x14ac:dyDescent="0.3">
      <c r="A812" s="7"/>
      <c r="B812" s="1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5.75" customHeight="1" x14ac:dyDescent="0.3">
      <c r="A813" s="7"/>
      <c r="B813" s="1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5.75" customHeight="1" x14ac:dyDescent="0.3">
      <c r="A814" s="7"/>
      <c r="B814" s="1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5.75" customHeight="1" x14ac:dyDescent="0.3">
      <c r="A815" s="7"/>
      <c r="B815" s="1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5.75" customHeight="1" x14ac:dyDescent="0.3">
      <c r="A816" s="7"/>
      <c r="B816" s="1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5.75" customHeight="1" x14ac:dyDescent="0.3">
      <c r="A817" s="7"/>
      <c r="B817" s="1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5.75" customHeight="1" x14ac:dyDescent="0.3">
      <c r="A818" s="7"/>
      <c r="B818" s="1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5.75" customHeight="1" x14ac:dyDescent="0.3">
      <c r="A819" s="7"/>
      <c r="B819" s="1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5.75" customHeight="1" x14ac:dyDescent="0.3">
      <c r="A820" s="7"/>
      <c r="B820" s="1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5.75" customHeight="1" x14ac:dyDescent="0.3">
      <c r="A821" s="7"/>
      <c r="B821" s="1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5.75" customHeight="1" x14ac:dyDescent="0.3">
      <c r="A822" s="7"/>
      <c r="B822" s="1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5.75" customHeight="1" x14ac:dyDescent="0.3">
      <c r="A823" s="7"/>
      <c r="B823" s="1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5.75" customHeight="1" x14ac:dyDescent="0.3">
      <c r="A824" s="7"/>
      <c r="B824" s="1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5.75" customHeight="1" x14ac:dyDescent="0.3">
      <c r="A825" s="7"/>
      <c r="B825" s="1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5.75" customHeight="1" x14ac:dyDescent="0.3">
      <c r="A826" s="7"/>
      <c r="B826" s="1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5.75" customHeight="1" x14ac:dyDescent="0.3">
      <c r="A827" s="7"/>
      <c r="B827" s="1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5.75" customHeight="1" x14ac:dyDescent="0.3">
      <c r="A828" s="7"/>
      <c r="B828" s="1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5.75" customHeight="1" x14ac:dyDescent="0.3">
      <c r="A829" s="7"/>
      <c r="B829" s="1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5.75" customHeight="1" x14ac:dyDescent="0.3">
      <c r="A830" s="7"/>
      <c r="B830" s="1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5.75" customHeight="1" x14ac:dyDescent="0.3">
      <c r="A831" s="7"/>
      <c r="B831" s="1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5.75" customHeight="1" x14ac:dyDescent="0.3">
      <c r="A832" s="7"/>
      <c r="B832" s="1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5.75" customHeight="1" x14ac:dyDescent="0.3">
      <c r="A833" s="7"/>
      <c r="B833" s="1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5.75" customHeight="1" x14ac:dyDescent="0.3">
      <c r="A834" s="7"/>
      <c r="B834" s="1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5.75" customHeight="1" x14ac:dyDescent="0.3">
      <c r="A835" s="7"/>
      <c r="B835" s="1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5.75" customHeight="1" x14ac:dyDescent="0.3">
      <c r="A836" s="7"/>
      <c r="B836" s="1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5.75" customHeight="1" x14ac:dyDescent="0.3">
      <c r="A837" s="7"/>
      <c r="B837" s="1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5.75" customHeight="1" x14ac:dyDescent="0.3">
      <c r="A838" s="7"/>
      <c r="B838" s="1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5.75" customHeight="1" x14ac:dyDescent="0.3">
      <c r="A839" s="7"/>
      <c r="B839" s="1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5.75" customHeight="1" x14ac:dyDescent="0.3">
      <c r="A840" s="7"/>
      <c r="B840" s="1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5.75" customHeight="1" x14ac:dyDescent="0.3">
      <c r="A841" s="7"/>
      <c r="B841" s="1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5.75" customHeight="1" x14ac:dyDescent="0.3">
      <c r="A842" s="7"/>
      <c r="B842" s="1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5.75" customHeight="1" x14ac:dyDescent="0.3">
      <c r="A843" s="7"/>
      <c r="B843" s="1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5.75" customHeight="1" x14ac:dyDescent="0.3">
      <c r="A844" s="7"/>
      <c r="B844" s="1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5.75" customHeight="1" x14ac:dyDescent="0.3">
      <c r="A845" s="7"/>
      <c r="B845" s="1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5.75" customHeight="1" x14ac:dyDescent="0.3">
      <c r="A846" s="7"/>
      <c r="B846" s="1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5.75" customHeight="1" x14ac:dyDescent="0.3">
      <c r="A847" s="7"/>
      <c r="B847" s="1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5.75" customHeight="1" x14ac:dyDescent="0.3">
      <c r="A848" s="7"/>
      <c r="B848" s="1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5.75" customHeight="1" x14ac:dyDescent="0.3">
      <c r="A849" s="7"/>
      <c r="B849" s="1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5.75" customHeight="1" x14ac:dyDescent="0.3">
      <c r="A850" s="7"/>
      <c r="B850" s="1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5.75" customHeight="1" x14ac:dyDescent="0.3">
      <c r="A851" s="7"/>
      <c r="B851" s="1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5.75" customHeight="1" x14ac:dyDescent="0.3">
      <c r="A852" s="7"/>
      <c r="B852" s="1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5.75" customHeight="1" x14ac:dyDescent="0.3">
      <c r="A853" s="7"/>
      <c r="B853" s="1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5.75" customHeight="1" x14ac:dyDescent="0.3">
      <c r="A854" s="7"/>
      <c r="B854" s="1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5.75" customHeight="1" x14ac:dyDescent="0.3">
      <c r="A855" s="7"/>
      <c r="B855" s="1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5.75" customHeight="1" x14ac:dyDescent="0.3">
      <c r="A856" s="7"/>
      <c r="B856" s="1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5.75" customHeight="1" x14ac:dyDescent="0.3">
      <c r="A857" s="7"/>
      <c r="B857" s="1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5.75" customHeight="1" x14ac:dyDescent="0.3">
      <c r="A858" s="7"/>
      <c r="B858" s="1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5.75" customHeight="1" x14ac:dyDescent="0.3">
      <c r="A859" s="7"/>
      <c r="B859" s="1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5.75" customHeight="1" x14ac:dyDescent="0.3">
      <c r="A860" s="7"/>
      <c r="B860" s="1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5.75" customHeight="1" x14ac:dyDescent="0.3">
      <c r="A861" s="7"/>
      <c r="B861" s="1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5.75" customHeight="1" x14ac:dyDescent="0.3">
      <c r="A862" s="7"/>
      <c r="B862" s="1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5.75" customHeight="1" x14ac:dyDescent="0.3">
      <c r="A863" s="7"/>
      <c r="B863" s="1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5.75" customHeight="1" x14ac:dyDescent="0.3">
      <c r="A864" s="7"/>
      <c r="B864" s="1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5.75" customHeight="1" x14ac:dyDescent="0.3">
      <c r="A865" s="7"/>
      <c r="B865" s="1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5.75" customHeight="1" x14ac:dyDescent="0.3">
      <c r="A866" s="7"/>
      <c r="B866" s="1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5.75" customHeight="1" x14ac:dyDescent="0.3">
      <c r="A867" s="7"/>
      <c r="B867" s="1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5.75" customHeight="1" x14ac:dyDescent="0.3">
      <c r="A868" s="7"/>
      <c r="B868" s="1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5.75" customHeight="1" x14ac:dyDescent="0.3">
      <c r="A869" s="7"/>
      <c r="B869" s="1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5.75" customHeight="1" x14ac:dyDescent="0.3">
      <c r="A870" s="7"/>
      <c r="B870" s="1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5.75" customHeight="1" x14ac:dyDescent="0.3">
      <c r="A871" s="7"/>
      <c r="B871" s="1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5.75" customHeight="1" x14ac:dyDescent="0.3">
      <c r="A872" s="7"/>
      <c r="B872" s="1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5.75" customHeight="1" x14ac:dyDescent="0.3">
      <c r="A873" s="7"/>
      <c r="B873" s="1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5.75" customHeight="1" x14ac:dyDescent="0.3">
      <c r="A874" s="7"/>
      <c r="B874" s="1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5.75" customHeight="1" x14ac:dyDescent="0.3">
      <c r="A875" s="7"/>
      <c r="B875" s="1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5.75" customHeight="1" x14ac:dyDescent="0.3">
      <c r="A876" s="7"/>
      <c r="B876" s="1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5.75" customHeight="1" x14ac:dyDescent="0.3">
      <c r="A877" s="7"/>
      <c r="B877" s="1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5.75" customHeight="1" x14ac:dyDescent="0.3">
      <c r="A878" s="7"/>
      <c r="B878" s="1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5.75" customHeight="1" x14ac:dyDescent="0.3">
      <c r="A879" s="7"/>
      <c r="B879" s="1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5.75" customHeight="1" x14ac:dyDescent="0.3">
      <c r="A880" s="7"/>
      <c r="B880" s="1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5.75" customHeight="1" x14ac:dyDescent="0.3">
      <c r="A881" s="7"/>
      <c r="B881" s="1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5.75" customHeight="1" x14ac:dyDescent="0.3">
      <c r="A882" s="7"/>
      <c r="B882" s="1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5.75" customHeight="1" x14ac:dyDescent="0.3">
      <c r="A883" s="7"/>
      <c r="B883" s="1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5.75" customHeight="1" x14ac:dyDescent="0.3">
      <c r="A884" s="7"/>
      <c r="B884" s="1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5.75" customHeight="1" x14ac:dyDescent="0.3">
      <c r="A885" s="7"/>
      <c r="B885" s="1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5.75" customHeight="1" x14ac:dyDescent="0.3">
      <c r="A886" s="7"/>
      <c r="B886" s="1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5.75" customHeight="1" x14ac:dyDescent="0.3">
      <c r="A887" s="7"/>
      <c r="B887" s="1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5.75" customHeight="1" x14ac:dyDescent="0.3">
      <c r="A888" s="7"/>
      <c r="B888" s="1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5.75" customHeight="1" x14ac:dyDescent="0.3">
      <c r="A889" s="7"/>
      <c r="B889" s="1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5.75" customHeight="1" x14ac:dyDescent="0.3">
      <c r="A890" s="7"/>
      <c r="B890" s="1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5.75" customHeight="1" x14ac:dyDescent="0.3">
      <c r="A891" s="7"/>
      <c r="B891" s="1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5.75" customHeight="1" x14ac:dyDescent="0.3">
      <c r="A892" s="7"/>
      <c r="B892" s="1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5.75" customHeight="1" x14ac:dyDescent="0.3">
      <c r="A893" s="7"/>
      <c r="B893" s="1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5.75" customHeight="1" x14ac:dyDescent="0.3">
      <c r="A894" s="7"/>
      <c r="B894" s="1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5.75" customHeight="1" x14ac:dyDescent="0.3">
      <c r="A895" s="7"/>
      <c r="B895" s="1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5.75" customHeight="1" x14ac:dyDescent="0.3">
      <c r="A896" s="7"/>
      <c r="B896" s="1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5.75" customHeight="1" x14ac:dyDescent="0.3">
      <c r="A897" s="7"/>
      <c r="B897" s="1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5.75" customHeight="1" x14ac:dyDescent="0.3">
      <c r="A898" s="7"/>
      <c r="B898" s="1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5.75" customHeight="1" x14ac:dyDescent="0.3">
      <c r="A899" s="7"/>
      <c r="B899" s="1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5.75" customHeight="1" x14ac:dyDescent="0.3">
      <c r="A900" s="7"/>
      <c r="B900" s="1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5.75" customHeight="1" x14ac:dyDescent="0.3">
      <c r="A901" s="7"/>
      <c r="B901" s="1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5.75" customHeight="1" x14ac:dyDescent="0.3">
      <c r="A902" s="7"/>
      <c r="B902" s="1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5.75" customHeight="1" x14ac:dyDescent="0.3">
      <c r="A903" s="7"/>
      <c r="B903" s="1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5.75" customHeight="1" x14ac:dyDescent="0.3">
      <c r="A904" s="7"/>
      <c r="B904" s="1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5.75" customHeight="1" x14ac:dyDescent="0.3">
      <c r="A905" s="7"/>
      <c r="B905" s="1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5.75" customHeight="1" x14ac:dyDescent="0.3">
      <c r="A906" s="7"/>
      <c r="B906" s="1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5.75" customHeight="1" x14ac:dyDescent="0.3">
      <c r="A907" s="7"/>
      <c r="B907" s="1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5.75" customHeight="1" x14ac:dyDescent="0.3">
      <c r="A908" s="7"/>
      <c r="B908" s="1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5.75" customHeight="1" x14ac:dyDescent="0.3">
      <c r="A909" s="7"/>
      <c r="B909" s="1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5.75" customHeight="1" x14ac:dyDescent="0.3">
      <c r="A910" s="7"/>
      <c r="B910" s="1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5.75" customHeight="1" x14ac:dyDescent="0.3">
      <c r="A911" s="7"/>
      <c r="B911" s="1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5.75" customHeight="1" x14ac:dyDescent="0.3">
      <c r="A912" s="7"/>
      <c r="B912" s="1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5.75" customHeight="1" x14ac:dyDescent="0.3">
      <c r="A913" s="7"/>
      <c r="B913" s="1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5.75" customHeight="1" x14ac:dyDescent="0.3">
      <c r="A914" s="7"/>
      <c r="B914" s="1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5.75" customHeight="1" x14ac:dyDescent="0.3">
      <c r="A915" s="7"/>
      <c r="B915" s="1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5.75" customHeight="1" x14ac:dyDescent="0.3">
      <c r="A916" s="7"/>
      <c r="B916" s="1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5.75" customHeight="1" x14ac:dyDescent="0.3">
      <c r="A917" s="7"/>
      <c r="B917" s="1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5.75" customHeight="1" x14ac:dyDescent="0.3">
      <c r="A918" s="7"/>
      <c r="B918" s="1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5.75" customHeight="1" x14ac:dyDescent="0.3">
      <c r="A919" s="7"/>
      <c r="B919" s="1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5.75" customHeight="1" x14ac:dyDescent="0.3">
      <c r="A920" s="7"/>
      <c r="B920" s="1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5.75" customHeight="1" x14ac:dyDescent="0.3">
      <c r="A921" s="7"/>
      <c r="B921" s="1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5.75" customHeight="1" x14ac:dyDescent="0.3">
      <c r="A922" s="7"/>
      <c r="B922" s="1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5.75" customHeight="1" x14ac:dyDescent="0.3">
      <c r="A923" s="7"/>
      <c r="B923" s="1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5.75" customHeight="1" x14ac:dyDescent="0.3">
      <c r="A924" s="7"/>
      <c r="B924" s="1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5.75" customHeight="1" x14ac:dyDescent="0.3">
      <c r="A925" s="7"/>
      <c r="B925" s="1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5.75" customHeight="1" x14ac:dyDescent="0.3">
      <c r="A926" s="7"/>
      <c r="B926" s="1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5.75" customHeight="1" x14ac:dyDescent="0.3">
      <c r="A927" s="7"/>
      <c r="B927" s="1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5.75" customHeight="1" x14ac:dyDescent="0.3">
      <c r="A928" s="7"/>
      <c r="B928" s="1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5.75" customHeight="1" x14ac:dyDescent="0.3">
      <c r="A929" s="7"/>
      <c r="B929" s="1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5.75" customHeight="1" x14ac:dyDescent="0.3">
      <c r="A930" s="7"/>
      <c r="B930" s="1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5.75" customHeight="1" x14ac:dyDescent="0.3">
      <c r="A931" s="7"/>
      <c r="B931" s="1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5.75" customHeight="1" x14ac:dyDescent="0.3">
      <c r="A932" s="7"/>
      <c r="B932" s="1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5.75" customHeight="1" x14ac:dyDescent="0.3">
      <c r="A933" s="7"/>
      <c r="B933" s="1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5.75" customHeight="1" x14ac:dyDescent="0.3">
      <c r="A934" s="7"/>
      <c r="B934" s="1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5.75" customHeight="1" x14ac:dyDescent="0.3">
      <c r="A935" s="7"/>
      <c r="B935" s="1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5.75" customHeight="1" x14ac:dyDescent="0.3">
      <c r="A936" s="7"/>
      <c r="B936" s="1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5.75" customHeight="1" x14ac:dyDescent="0.3">
      <c r="A937" s="7"/>
      <c r="B937" s="1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5.75" customHeight="1" x14ac:dyDescent="0.3">
      <c r="A938" s="7"/>
      <c r="B938" s="1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5.75" customHeight="1" x14ac:dyDescent="0.3">
      <c r="A939" s="7"/>
      <c r="B939" s="1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5.75" customHeight="1" x14ac:dyDescent="0.3">
      <c r="A940" s="7"/>
      <c r="B940" s="1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5.75" customHeight="1" x14ac:dyDescent="0.3">
      <c r="A941" s="7"/>
      <c r="B941" s="1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5.75" customHeight="1" x14ac:dyDescent="0.3">
      <c r="A942" s="7"/>
      <c r="B942" s="1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5.75" customHeight="1" x14ac:dyDescent="0.3">
      <c r="A943" s="7"/>
      <c r="B943" s="1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5.75" customHeight="1" x14ac:dyDescent="0.3">
      <c r="A944" s="7"/>
      <c r="B944" s="1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5.75" customHeight="1" x14ac:dyDescent="0.3">
      <c r="A945" s="7"/>
      <c r="B945" s="1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5.75" customHeight="1" x14ac:dyDescent="0.3">
      <c r="A946" s="7"/>
      <c r="B946" s="1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5.75" customHeight="1" x14ac:dyDescent="0.3">
      <c r="A947" s="7"/>
      <c r="B947" s="1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5.75" customHeight="1" x14ac:dyDescent="0.3">
      <c r="A948" s="7"/>
      <c r="B948" s="1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5.75" customHeight="1" x14ac:dyDescent="0.3">
      <c r="A949" s="7"/>
      <c r="B949" s="1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5.75" customHeight="1" x14ac:dyDescent="0.3">
      <c r="A950" s="7"/>
      <c r="B950" s="1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5.75" customHeight="1" x14ac:dyDescent="0.3">
      <c r="A951" s="7"/>
      <c r="B951" s="1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5.75" customHeight="1" x14ac:dyDescent="0.3">
      <c r="A952" s="7"/>
      <c r="B952" s="1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5.75" customHeight="1" x14ac:dyDescent="0.3">
      <c r="A953" s="7"/>
      <c r="B953" s="1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5.75" customHeight="1" x14ac:dyDescent="0.3">
      <c r="A954" s="7"/>
      <c r="B954" s="1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5.75" customHeight="1" x14ac:dyDescent="0.3">
      <c r="A955" s="7"/>
      <c r="B955" s="1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5.75" customHeight="1" x14ac:dyDescent="0.3">
      <c r="A956" s="7"/>
      <c r="B956" s="1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5.75" customHeight="1" x14ac:dyDescent="0.3">
      <c r="A957" s="7"/>
      <c r="B957" s="1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5.75" customHeight="1" x14ac:dyDescent="0.3">
      <c r="A958" s="7"/>
      <c r="B958" s="1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5.75" customHeight="1" x14ac:dyDescent="0.3">
      <c r="A959" s="7"/>
      <c r="B959" s="1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5.75" customHeight="1" x14ac:dyDescent="0.3">
      <c r="A960" s="7"/>
      <c r="B960" s="1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5.75" customHeight="1" x14ac:dyDescent="0.3">
      <c r="A961" s="7"/>
      <c r="B961" s="1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5.75" customHeight="1" x14ac:dyDescent="0.3">
      <c r="A962" s="7"/>
      <c r="B962" s="1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5.75" customHeight="1" x14ac:dyDescent="0.3">
      <c r="A963" s="7"/>
      <c r="B963" s="1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5.75" customHeight="1" x14ac:dyDescent="0.3">
      <c r="A964" s="7"/>
      <c r="B964" s="1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5.75" customHeight="1" x14ac:dyDescent="0.3">
      <c r="A965" s="7"/>
      <c r="B965" s="1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5.75" customHeight="1" x14ac:dyDescent="0.3">
      <c r="A966" s="7"/>
      <c r="B966" s="1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5.75" customHeight="1" x14ac:dyDescent="0.3">
      <c r="A967" s="7"/>
      <c r="B967" s="1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5.75" customHeight="1" x14ac:dyDescent="0.3">
      <c r="A968" s="7"/>
      <c r="B968" s="1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5.75" customHeight="1" x14ac:dyDescent="0.3">
      <c r="A969" s="7"/>
      <c r="B969" s="1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5.75" customHeight="1" x14ac:dyDescent="0.3">
      <c r="A970" s="7"/>
      <c r="B970" s="1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5.75" customHeight="1" x14ac:dyDescent="0.3">
      <c r="A971" s="7"/>
      <c r="B971" s="1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5.75" customHeight="1" x14ac:dyDescent="0.3">
      <c r="A972" s="7"/>
      <c r="B972" s="1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5.75" customHeight="1" x14ac:dyDescent="0.3">
      <c r="A973" s="7"/>
      <c r="B973" s="1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5.75" customHeight="1" x14ac:dyDescent="0.3">
      <c r="A974" s="7"/>
      <c r="B974" s="1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5.75" customHeight="1" x14ac:dyDescent="0.3">
      <c r="A975" s="7"/>
      <c r="B975" s="1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5.75" customHeight="1" x14ac:dyDescent="0.3">
      <c r="A976" s="7"/>
      <c r="B976" s="1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5.75" customHeight="1" x14ac:dyDescent="0.3">
      <c r="A977" s="7"/>
      <c r="B977" s="1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5.75" customHeight="1" x14ac:dyDescent="0.3">
      <c r="A978" s="7"/>
      <c r="B978" s="1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5.75" customHeight="1" x14ac:dyDescent="0.3">
      <c r="A979" s="7"/>
      <c r="B979" s="1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5.75" customHeight="1" x14ac:dyDescent="0.3">
      <c r="A980" s="7"/>
      <c r="B980" s="1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5.75" customHeight="1" x14ac:dyDescent="0.3">
      <c r="A981" s="7"/>
      <c r="B981" s="1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5.75" customHeight="1" x14ac:dyDescent="0.3">
      <c r="A982" s="7"/>
      <c r="B982" s="1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5.75" customHeight="1" x14ac:dyDescent="0.3">
      <c r="A983" s="7"/>
      <c r="B983" s="1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5.75" customHeight="1" x14ac:dyDescent="0.3">
      <c r="A984" s="7"/>
      <c r="B984" s="1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5.75" customHeight="1" x14ac:dyDescent="0.3">
      <c r="A985" s="7"/>
      <c r="B985" s="1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ht="15.75" customHeight="1" x14ac:dyDescent="0.3">
      <c r="A986" s="7"/>
      <c r="B986" s="1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ht="15.75" customHeight="1" x14ac:dyDescent="0.3">
      <c r="A987" s="7"/>
      <c r="B987" s="1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ht="15.75" customHeight="1" x14ac:dyDescent="0.3">
      <c r="A988" s="7"/>
      <c r="B988" s="1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ht="15.75" customHeight="1" x14ac:dyDescent="0.3">
      <c r="A989" s="7"/>
      <c r="B989" s="1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ht="15.75" customHeight="1" x14ac:dyDescent="0.3">
      <c r="A990" s="7"/>
      <c r="B990" s="1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ht="15.75" customHeight="1" x14ac:dyDescent="0.3">
      <c r="A991" s="7"/>
      <c r="B991" s="1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4" ht="15.75" customHeight="1" x14ac:dyDescent="0.3">
      <c r="A992" s="7"/>
      <c r="B992" s="1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ht="15.75" customHeight="1" x14ac:dyDescent="0.3">
      <c r="A993" s="7"/>
      <c r="B993" s="1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spans="1:34" ht="15.75" customHeight="1" x14ac:dyDescent="0.3">
      <c r="A994" s="7"/>
      <c r="B994" s="1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ht="15.75" customHeight="1" x14ac:dyDescent="0.3">
      <c r="A995" s="7"/>
      <c r="B995" s="1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ht="15.75" customHeight="1" x14ac:dyDescent="0.3">
      <c r="A996" s="7"/>
      <c r="B996" s="1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spans="1:34" ht="15.75" customHeight="1" x14ac:dyDescent="0.3">
      <c r="A997" s="7"/>
      <c r="B997" s="1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4" ht="15.75" customHeight="1" x14ac:dyDescent="0.3">
      <c r="A998" s="7"/>
      <c r="B998" s="1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ht="15.75" customHeight="1" x14ac:dyDescent="0.3">
      <c r="A999" s="7"/>
      <c r="B999" s="19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ht="15.75" customHeight="1" x14ac:dyDescent="0.3">
      <c r="A1000" s="7"/>
      <c r="B1000" s="19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</sheetData>
  <mergeCells count="8">
    <mergeCell ref="A37:A44"/>
    <mergeCell ref="A45:A87"/>
    <mergeCell ref="AF1:AH1"/>
    <mergeCell ref="A5:A12"/>
    <mergeCell ref="A13:A20"/>
    <mergeCell ref="A21:A28"/>
    <mergeCell ref="A29:A36"/>
    <mergeCell ref="AB1:AE1"/>
  </mergeCells>
  <pageMargins left="0.7" right="0.7" top="0.75" bottom="0.75" header="0" footer="0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4" sqref="C4"/>
    </sheetView>
  </sheetViews>
  <sheetFormatPr baseColWidth="10" defaultColWidth="12.59765625" defaultRowHeight="15" customHeight="1" x14ac:dyDescent="0.25"/>
  <cols>
    <col min="1" max="1" width="10.09765625" customWidth="1"/>
    <col min="2" max="2" width="17.69921875" customWidth="1"/>
    <col min="3" max="12" width="20" customWidth="1"/>
    <col min="13" max="26" width="10.09765625" customWidth="1"/>
  </cols>
  <sheetData>
    <row r="1" spans="1:26" ht="14.4" x14ac:dyDescent="0.3">
      <c r="A1" s="7"/>
      <c r="B1" s="19"/>
      <c r="C1" s="45" t="s">
        <v>45</v>
      </c>
      <c r="D1" s="45" t="s">
        <v>45</v>
      </c>
      <c r="E1" s="45" t="s">
        <v>45</v>
      </c>
      <c r="F1" s="45" t="s">
        <v>45</v>
      </c>
      <c r="G1" s="45" t="s">
        <v>45</v>
      </c>
      <c r="H1" s="45" t="s">
        <v>45</v>
      </c>
      <c r="I1" s="45" t="s">
        <v>45</v>
      </c>
      <c r="J1" s="45" t="s">
        <v>45</v>
      </c>
      <c r="K1" s="45" t="s">
        <v>45</v>
      </c>
      <c r="L1" s="45" t="s">
        <v>45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25">
      <c r="A2" s="14"/>
      <c r="B2" s="47" t="s">
        <v>49</v>
      </c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8.8" x14ac:dyDescent="0.25">
      <c r="A3" s="14"/>
      <c r="B3" s="49" t="s">
        <v>50</v>
      </c>
      <c r="C3" s="48" t="s">
        <v>490</v>
      </c>
      <c r="D3" s="48" t="s">
        <v>52</v>
      </c>
      <c r="E3" s="48" t="s">
        <v>475</v>
      </c>
      <c r="F3" s="204" t="s">
        <v>459</v>
      </c>
      <c r="G3" s="48" t="s">
        <v>53</v>
      </c>
      <c r="H3" s="48" t="s">
        <v>476</v>
      </c>
      <c r="I3" s="48" t="s">
        <v>541</v>
      </c>
      <c r="J3" s="204" t="s">
        <v>477</v>
      </c>
      <c r="K3" s="204" t="s">
        <v>478</v>
      </c>
      <c r="L3" s="48" t="s">
        <v>479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57" customHeight="1" x14ac:dyDescent="0.25">
      <c r="A4" s="8"/>
      <c r="B4" s="16" t="s">
        <v>79</v>
      </c>
      <c r="C4" s="182" t="s">
        <v>80</v>
      </c>
      <c r="D4" s="182" t="s">
        <v>81</v>
      </c>
      <c r="E4" s="182" t="s">
        <v>82</v>
      </c>
      <c r="F4" s="182" t="s">
        <v>493</v>
      </c>
      <c r="G4" s="182" t="s">
        <v>83</v>
      </c>
      <c r="H4" s="182" t="s">
        <v>84</v>
      </c>
      <c r="I4" s="182" t="s">
        <v>537</v>
      </c>
      <c r="J4" s="138" t="s">
        <v>498</v>
      </c>
      <c r="K4" s="182" t="s">
        <v>502</v>
      </c>
      <c r="L4" s="182" t="s">
        <v>503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0" customHeight="1" x14ac:dyDescent="0.25">
      <c r="A5" s="8"/>
      <c r="B5" s="16" t="s">
        <v>90</v>
      </c>
      <c r="C5" s="182" t="s">
        <v>527</v>
      </c>
      <c r="D5" s="182" t="s">
        <v>463</v>
      </c>
      <c r="E5" s="182" t="s">
        <v>464</v>
      </c>
      <c r="F5" s="182" t="s">
        <v>465</v>
      </c>
      <c r="G5" s="182" t="s">
        <v>466</v>
      </c>
      <c r="H5" s="182" t="s">
        <v>91</v>
      </c>
      <c r="I5" s="182" t="s">
        <v>538</v>
      </c>
      <c r="J5" s="182" t="s">
        <v>467</v>
      </c>
      <c r="K5" s="138" t="s">
        <v>92</v>
      </c>
      <c r="L5" s="182" t="s">
        <v>468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0" customHeight="1" x14ac:dyDescent="0.25">
      <c r="A6" s="8"/>
      <c r="B6" s="16" t="s">
        <v>102</v>
      </c>
      <c r="C6" s="182" t="s">
        <v>103</v>
      </c>
      <c r="D6" s="182" t="s">
        <v>104</v>
      </c>
      <c r="E6" s="182" t="s">
        <v>491</v>
      </c>
      <c r="F6" s="182" t="s">
        <v>492</v>
      </c>
      <c r="G6" s="182" t="s">
        <v>105</v>
      </c>
      <c r="H6" s="182" t="s">
        <v>496</v>
      </c>
      <c r="I6" s="182" t="s">
        <v>539</v>
      </c>
      <c r="J6" s="182" t="s">
        <v>497</v>
      </c>
      <c r="K6" s="182" t="s">
        <v>499</v>
      </c>
      <c r="L6" s="182" t="s">
        <v>504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182"/>
      <c r="B7" s="51" t="s">
        <v>108</v>
      </c>
      <c r="C7" s="50" t="s">
        <v>109</v>
      </c>
      <c r="D7" s="50" t="s">
        <v>109</v>
      </c>
      <c r="E7" s="50" t="s">
        <v>110</v>
      </c>
      <c r="F7" s="50" t="s">
        <v>109</v>
      </c>
      <c r="G7" s="50" t="s">
        <v>111</v>
      </c>
      <c r="H7" s="50" t="s">
        <v>112</v>
      </c>
      <c r="I7" s="50" t="s">
        <v>113</v>
      </c>
      <c r="J7" s="50" t="s">
        <v>535</v>
      </c>
      <c r="K7" s="50" t="s">
        <v>114</v>
      </c>
      <c r="L7" s="50" t="s">
        <v>462</v>
      </c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spans="1:26" ht="30" customHeight="1" x14ac:dyDescent="0.25">
      <c r="A8" s="182"/>
      <c r="B8" s="54" t="s">
        <v>126</v>
      </c>
      <c r="C8" s="53" t="s">
        <v>127</v>
      </c>
      <c r="D8" s="53">
        <v>1</v>
      </c>
      <c r="E8" s="53" t="s">
        <v>128</v>
      </c>
      <c r="F8" s="53" t="s">
        <v>128</v>
      </c>
      <c r="G8" s="53" t="s">
        <v>129</v>
      </c>
      <c r="H8" s="53" t="s">
        <v>128</v>
      </c>
      <c r="I8" s="53" t="s">
        <v>128</v>
      </c>
      <c r="J8" s="53" t="s">
        <v>128</v>
      </c>
      <c r="K8" s="53" t="s">
        <v>128</v>
      </c>
      <c r="L8" s="53" t="s">
        <v>128</v>
      </c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 spans="1:26" ht="30" customHeight="1" x14ac:dyDescent="0.25">
      <c r="A9" s="182"/>
      <c r="B9" s="57" t="s">
        <v>141</v>
      </c>
      <c r="C9" s="56" t="s">
        <v>142</v>
      </c>
      <c r="D9" s="56">
        <v>2</v>
      </c>
      <c r="E9" s="56" t="s">
        <v>143</v>
      </c>
      <c r="F9" s="56" t="s">
        <v>144</v>
      </c>
      <c r="G9" s="56" t="s">
        <v>145</v>
      </c>
      <c r="H9" s="56" t="s">
        <v>146</v>
      </c>
      <c r="I9" s="56" t="s">
        <v>147</v>
      </c>
      <c r="J9" s="56" t="s">
        <v>148</v>
      </c>
      <c r="K9" s="56" t="s">
        <v>149</v>
      </c>
      <c r="L9" s="56" t="s">
        <v>470</v>
      </c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 spans="1:26" ht="30" customHeight="1" x14ac:dyDescent="0.25">
      <c r="A10" s="182"/>
      <c r="B10" s="65" t="s">
        <v>161</v>
      </c>
      <c r="C10" s="59" t="s">
        <v>162</v>
      </c>
      <c r="D10" s="59">
        <v>3</v>
      </c>
      <c r="E10" s="59" t="s">
        <v>128</v>
      </c>
      <c r="F10" s="59" t="s">
        <v>128</v>
      </c>
      <c r="G10" s="59" t="s">
        <v>163</v>
      </c>
      <c r="H10" s="59" t="s">
        <v>128</v>
      </c>
      <c r="I10" s="59" t="s">
        <v>128</v>
      </c>
      <c r="J10" s="59" t="s">
        <v>128</v>
      </c>
      <c r="K10" s="59" t="s">
        <v>128</v>
      </c>
      <c r="L10" s="59" t="s">
        <v>128</v>
      </c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 spans="1:26" ht="30" customHeight="1" x14ac:dyDescent="0.25">
      <c r="A11" s="182"/>
      <c r="B11" s="62" t="s">
        <v>174</v>
      </c>
      <c r="C11" s="61" t="s">
        <v>175</v>
      </c>
      <c r="D11" s="61" t="s">
        <v>176</v>
      </c>
      <c r="E11" s="61" t="s">
        <v>177</v>
      </c>
      <c r="F11" s="61" t="s">
        <v>178</v>
      </c>
      <c r="G11" s="61" t="s">
        <v>179</v>
      </c>
      <c r="H11" s="61" t="s">
        <v>180</v>
      </c>
      <c r="I11" s="61" t="s">
        <v>181</v>
      </c>
      <c r="J11" s="61" t="s">
        <v>182</v>
      </c>
      <c r="K11" s="61" t="s">
        <v>183</v>
      </c>
      <c r="L11" s="61" t="s">
        <v>471</v>
      </c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 spans="1:26" ht="14.4" x14ac:dyDescent="0.25">
      <c r="A12" s="14"/>
      <c r="B12" s="32"/>
      <c r="C12" s="14" t="s">
        <v>51</v>
      </c>
      <c r="D12" s="14" t="s">
        <v>52</v>
      </c>
      <c r="E12" s="14" t="s">
        <v>330</v>
      </c>
      <c r="F12" s="14" t="s">
        <v>61</v>
      </c>
      <c r="G12" s="14" t="s">
        <v>53</v>
      </c>
      <c r="H12" s="14" t="s">
        <v>331</v>
      </c>
      <c r="I12" s="14" t="s">
        <v>546</v>
      </c>
      <c r="J12" s="14" t="s">
        <v>332</v>
      </c>
      <c r="K12" s="14" t="s">
        <v>54</v>
      </c>
      <c r="L12" s="14" t="s">
        <v>333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4" x14ac:dyDescent="0.3">
      <c r="A13" s="7"/>
      <c r="B13" s="19" t="s">
        <v>283</v>
      </c>
      <c r="C13" s="7" t="e">
        <f>'Grille de métriques'!C12</f>
        <v>#NUM!</v>
      </c>
      <c r="D13" s="7" t="e">
        <f>'Grille de métriques'!D12</f>
        <v>#NUM!</v>
      </c>
      <c r="E13" s="7" t="e">
        <f>'Grille de métriques'!E12</f>
        <v>#NUM!</v>
      </c>
      <c r="F13" s="7" t="e">
        <f>'Grille de métriques'!F12</f>
        <v>#NUM!</v>
      </c>
      <c r="G13" s="7" t="e">
        <f>'Grille de métriques'!G12</f>
        <v>#NUM!</v>
      </c>
      <c r="H13" s="7" t="e">
        <f>'Grille de métriques'!H12</f>
        <v>#NUM!</v>
      </c>
      <c r="I13" s="7" t="e">
        <f>'Grille de métriques'!I12</f>
        <v>#NUM!</v>
      </c>
      <c r="J13" s="7" t="e">
        <f>'Grille de métriques'!J12</f>
        <v>#NUM!</v>
      </c>
      <c r="K13" s="7" t="e">
        <f>'Grille de métriques'!K12</f>
        <v>#NUM!</v>
      </c>
      <c r="L13" s="7" t="e">
        <f>'Grille de métriques'!L12</f>
        <v>#NUM!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4" x14ac:dyDescent="0.3">
      <c r="A14" s="7"/>
      <c r="B14" s="19" t="s">
        <v>285</v>
      </c>
      <c r="C14" s="7" t="e">
        <f>'Grille de métriques'!C20</f>
        <v>#NUM!</v>
      </c>
      <c r="D14" s="7" t="e">
        <f>'Grille de métriques'!D20</f>
        <v>#NUM!</v>
      </c>
      <c r="E14" s="7" t="e">
        <f>'Grille de métriques'!E20</f>
        <v>#NUM!</v>
      </c>
      <c r="F14" s="7" t="e">
        <f>'Grille de métriques'!F20</f>
        <v>#NUM!</v>
      </c>
      <c r="G14" s="7" t="e">
        <f>'Grille de métriques'!G20</f>
        <v>#NUM!</v>
      </c>
      <c r="H14" s="7" t="e">
        <f>'Grille de métriques'!H20</f>
        <v>#NUM!</v>
      </c>
      <c r="I14" s="7" t="e">
        <f>'Grille de métriques'!I20</f>
        <v>#NUM!</v>
      </c>
      <c r="J14" s="7" t="e">
        <f>'Grille de métriques'!J20</f>
        <v>#NUM!</v>
      </c>
      <c r="K14" s="7" t="e">
        <f>'Grille de métriques'!K20</f>
        <v>#NUM!</v>
      </c>
      <c r="L14" s="7" t="e">
        <f>'Grille de métriques'!L20</f>
        <v>#NUM!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4" x14ac:dyDescent="0.3">
      <c r="A15" s="7"/>
      <c r="B15" s="19" t="s">
        <v>286</v>
      </c>
      <c r="C15" s="7" t="e">
        <f>'Grille de métriques'!C28</f>
        <v>#NUM!</v>
      </c>
      <c r="D15" s="7" t="e">
        <f>'Grille de métriques'!D28</f>
        <v>#NUM!</v>
      </c>
      <c r="E15" s="7" t="e">
        <f>'Grille de métriques'!E28</f>
        <v>#NUM!</v>
      </c>
      <c r="F15" s="7" t="e">
        <f>'Grille de métriques'!F28</f>
        <v>#NUM!</v>
      </c>
      <c r="G15" s="7" t="e">
        <f>'Grille de métriques'!G28</f>
        <v>#NUM!</v>
      </c>
      <c r="H15" s="7" t="e">
        <f>'Grille de métriques'!H28</f>
        <v>#NUM!</v>
      </c>
      <c r="I15" s="7" t="e">
        <f>'Grille de métriques'!I28</f>
        <v>#NUM!</v>
      </c>
      <c r="J15" s="7" t="e">
        <f>'Grille de métriques'!J28</f>
        <v>#NUM!</v>
      </c>
      <c r="K15" s="7" t="e">
        <f>'Grille de métriques'!K28</f>
        <v>#NUM!</v>
      </c>
      <c r="L15" s="7" t="e">
        <f>'Grille de métriques'!L28</f>
        <v>#NUM!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4" x14ac:dyDescent="0.3">
      <c r="A16" s="7"/>
      <c r="B16" s="19" t="s">
        <v>288</v>
      </c>
      <c r="C16" s="7" t="e">
        <f>'Grille de métriques'!C36</f>
        <v>#NUM!</v>
      </c>
      <c r="D16" s="7" t="e">
        <f>'Grille de métriques'!D36</f>
        <v>#NUM!</v>
      </c>
      <c r="E16" s="7" t="e">
        <f>'Grille de métriques'!E36</f>
        <v>#NUM!</v>
      </c>
      <c r="F16" s="7" t="e">
        <f>'Grille de métriques'!F36</f>
        <v>#NUM!</v>
      </c>
      <c r="G16" s="7" t="e">
        <f>'Grille de métriques'!G36</f>
        <v>#NUM!</v>
      </c>
      <c r="H16" s="7" t="e">
        <f>'Grille de métriques'!H36</f>
        <v>#NUM!</v>
      </c>
      <c r="I16" s="7" t="e">
        <f>'Grille de métriques'!I36</f>
        <v>#NUM!</v>
      </c>
      <c r="J16" s="7" t="e">
        <f>'Grille de métriques'!J36</f>
        <v>#NUM!</v>
      </c>
      <c r="K16" s="7" t="e">
        <f>'Grille de métriques'!K36</f>
        <v>#NUM!</v>
      </c>
      <c r="L16" s="7" t="e">
        <f>'Grille de métriques'!L36</f>
        <v>#NUM!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4" x14ac:dyDescent="0.3">
      <c r="A17" s="7"/>
      <c r="B17" s="19" t="s">
        <v>289</v>
      </c>
      <c r="C17" s="7" t="e">
        <f>'Grille de métriques'!C44</f>
        <v>#NUM!</v>
      </c>
      <c r="D17" s="7" t="e">
        <f>'Grille de métriques'!D44</f>
        <v>#NUM!</v>
      </c>
      <c r="E17" s="7" t="e">
        <f>'Grille de métriques'!E44</f>
        <v>#NUM!</v>
      </c>
      <c r="F17" s="7" t="e">
        <f>'Grille de métriques'!F44</f>
        <v>#NUM!</v>
      </c>
      <c r="G17" s="7" t="e">
        <f>'Grille de métriques'!G44</f>
        <v>#NUM!</v>
      </c>
      <c r="H17" s="7" t="e">
        <f>'Grille de métriques'!H44</f>
        <v>#NUM!</v>
      </c>
      <c r="I17" s="7" t="e">
        <f>'Grille de métriques'!I44</f>
        <v>#NUM!</v>
      </c>
      <c r="J17" s="7" t="e">
        <f>'Grille de métriques'!J44</f>
        <v>#NUM!</v>
      </c>
      <c r="K17" s="7" t="e">
        <f>'Grille de métriques'!K44</f>
        <v>#NUM!</v>
      </c>
      <c r="L17" s="7" t="e">
        <f>'Grille de métriques'!L44</f>
        <v>#NUM!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4" x14ac:dyDescent="0.3">
      <c r="A18" s="7"/>
      <c r="B18" s="19" t="s">
        <v>329</v>
      </c>
      <c r="C18" s="7">
        <f>'Grille de métriques'!C87</f>
        <v>0</v>
      </c>
      <c r="D18" s="7">
        <f>'Grille de métriques'!D87</f>
        <v>0</v>
      </c>
      <c r="E18" s="7">
        <f>'Grille de métriques'!E87</f>
        <v>0</v>
      </c>
      <c r="F18" s="7">
        <f>'Grille de métriques'!F87</f>
        <v>0</v>
      </c>
      <c r="G18" s="7">
        <f>'Grille de métriques'!G87</f>
        <v>0</v>
      </c>
      <c r="H18" s="7">
        <f>'Grille de métriques'!H87</f>
        <v>0</v>
      </c>
      <c r="I18" s="7">
        <f>'Grille de métriques'!I87</f>
        <v>0</v>
      </c>
      <c r="J18" s="7">
        <f>'Grille de métriques'!J87</f>
        <v>0</v>
      </c>
      <c r="K18" s="7">
        <f>'Grille de métriques'!K87</f>
        <v>0</v>
      </c>
      <c r="L18" s="7">
        <f>'Grille de métriques'!L87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4" x14ac:dyDescent="0.25">
      <c r="A19" s="14"/>
      <c r="B19" s="32"/>
      <c r="C19" s="14" t="s">
        <v>51</v>
      </c>
      <c r="D19" s="14" t="s">
        <v>52</v>
      </c>
      <c r="E19" s="14" t="s">
        <v>330</v>
      </c>
      <c r="F19" s="14" t="s">
        <v>61</v>
      </c>
      <c r="G19" s="14" t="s">
        <v>53</v>
      </c>
      <c r="H19" s="14" t="s">
        <v>331</v>
      </c>
      <c r="I19" s="14" t="s">
        <v>546</v>
      </c>
      <c r="J19" s="14" t="s">
        <v>332</v>
      </c>
      <c r="K19" s="14" t="s">
        <v>54</v>
      </c>
      <c r="L19" s="14" t="s">
        <v>333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4" x14ac:dyDescent="0.3">
      <c r="A20" s="7"/>
      <c r="B20" s="21" t="s">
        <v>25</v>
      </c>
      <c r="C20" s="7" t="str">
        <f>Formulaire!B13</f>
        <v>Entretien d'un site pour favoriser l'habitat des espèces protégées</v>
      </c>
      <c r="D20" s="7">
        <f>Formulaire!C13</f>
        <v>0</v>
      </c>
      <c r="E20" s="7">
        <f>Formulaire!D13</f>
        <v>0</v>
      </c>
      <c r="F20" s="7">
        <f>Formulaire!E13</f>
        <v>0</v>
      </c>
      <c r="G20" s="7">
        <f>Formulaire!F13</f>
        <v>0</v>
      </c>
      <c r="H20" s="7">
        <f>Formulaire!G13</f>
        <v>0</v>
      </c>
      <c r="I20" s="7">
        <f>Formulaire!H13</f>
        <v>0</v>
      </c>
      <c r="J20" s="7">
        <f>Formulaire!I13</f>
        <v>0</v>
      </c>
      <c r="K20" s="7">
        <f>Formulaire!J13</f>
        <v>0</v>
      </c>
      <c r="L20" s="7">
        <f>Formulaire!K13</f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7"/>
      <c r="B21" s="21" t="s">
        <v>35</v>
      </c>
      <c r="C21" s="7" t="str">
        <f>Formulaire!B15</f>
        <v>proteger les petits oiseaux</v>
      </c>
      <c r="D21" s="7">
        <f>Formulaire!C15</f>
        <v>0</v>
      </c>
      <c r="E21" s="7">
        <f>Formulaire!D15</f>
        <v>0</v>
      </c>
      <c r="F21" s="7">
        <f>Formulaire!E15</f>
        <v>0</v>
      </c>
      <c r="G21" s="7">
        <f>Formulaire!F15</f>
        <v>0</v>
      </c>
      <c r="H21" s="7">
        <f>Formulaire!G15</f>
        <v>0</v>
      </c>
      <c r="I21" s="7">
        <f>Formulaire!H15</f>
        <v>0</v>
      </c>
      <c r="J21" s="7">
        <f>Formulaire!I15</f>
        <v>0</v>
      </c>
      <c r="K21" s="7">
        <f>Formulaire!J15</f>
        <v>0</v>
      </c>
      <c r="L21" s="7">
        <f>Formulaire!K15</f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"/>
      <c r="B22" s="21" t="s">
        <v>291</v>
      </c>
      <c r="C22" s="7">
        <f>Formulaire!B17</f>
        <v>0</v>
      </c>
      <c r="D22" s="7">
        <f>Formulaire!C17</f>
        <v>0</v>
      </c>
      <c r="E22" s="7">
        <f>Formulaire!D17</f>
        <v>0</v>
      </c>
      <c r="F22" s="7">
        <f>Formulaire!E17</f>
        <v>0</v>
      </c>
      <c r="G22" s="7">
        <f>Formulaire!F17</f>
        <v>0</v>
      </c>
      <c r="H22" s="7">
        <f>Formulaire!G17</f>
        <v>0</v>
      </c>
      <c r="I22" s="7">
        <f>Formulaire!H17</f>
        <v>0</v>
      </c>
      <c r="J22" s="7">
        <f>Formulaire!I17</f>
        <v>0</v>
      </c>
      <c r="K22" s="7">
        <f>Formulaire!J17</f>
        <v>0</v>
      </c>
      <c r="L22" s="7">
        <f>Formulaire!K17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7"/>
      <c r="B23" s="21" t="s">
        <v>292</v>
      </c>
      <c r="C23" s="7">
        <f>Formulaire!B19</f>
        <v>0</v>
      </c>
      <c r="D23" s="7">
        <f>Formulaire!C19</f>
        <v>0</v>
      </c>
      <c r="E23" s="7">
        <f>Formulaire!D19</f>
        <v>0</v>
      </c>
      <c r="F23" s="7">
        <f>Formulaire!E19</f>
        <v>0</v>
      </c>
      <c r="G23" s="7">
        <f>Formulaire!F19</f>
        <v>0</v>
      </c>
      <c r="H23" s="7">
        <f>Formulaire!G19</f>
        <v>0</v>
      </c>
      <c r="I23" s="7">
        <f>Formulaire!H19</f>
        <v>0</v>
      </c>
      <c r="J23" s="7">
        <f>Formulaire!I19</f>
        <v>0</v>
      </c>
      <c r="K23" s="7">
        <f>Formulaire!J19</f>
        <v>0</v>
      </c>
      <c r="L23" s="7">
        <f>Formulaire!K19</f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7"/>
      <c r="B24" s="21" t="s">
        <v>293</v>
      </c>
      <c r="C24" s="7">
        <f>Formulaire!B21</f>
        <v>0</v>
      </c>
      <c r="D24" s="7">
        <f>Formulaire!C21</f>
        <v>0</v>
      </c>
      <c r="E24" s="7">
        <f>Formulaire!D21</f>
        <v>0</v>
      </c>
      <c r="F24" s="7">
        <f>Formulaire!E21</f>
        <v>0</v>
      </c>
      <c r="G24" s="7">
        <f>Formulaire!F21</f>
        <v>0</v>
      </c>
      <c r="H24" s="7">
        <f>Formulaire!G21</f>
        <v>0</v>
      </c>
      <c r="I24" s="7">
        <f>Formulaire!H21</f>
        <v>0</v>
      </c>
      <c r="J24" s="7">
        <f>Formulaire!I21</f>
        <v>0</v>
      </c>
      <c r="K24" s="7">
        <f>Formulaire!J21</f>
        <v>0</v>
      </c>
      <c r="L24" s="7">
        <f>Formulaire!K21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"/>
      <c r="B25" s="21" t="s">
        <v>294</v>
      </c>
      <c r="C25" s="7">
        <f>Formulaire!B23</f>
        <v>0</v>
      </c>
      <c r="D25" s="7">
        <f>Formulaire!C23</f>
        <v>0</v>
      </c>
      <c r="E25" s="7">
        <f>Formulaire!D23</f>
        <v>0</v>
      </c>
      <c r="F25" s="7">
        <f>Formulaire!E23</f>
        <v>0</v>
      </c>
      <c r="G25" s="7">
        <f>Formulaire!F23</f>
        <v>0</v>
      </c>
      <c r="H25" s="7">
        <f>Formulaire!G23</f>
        <v>0</v>
      </c>
      <c r="I25" s="7">
        <f>Formulaire!H23</f>
        <v>0</v>
      </c>
      <c r="J25" s="7">
        <f>Formulaire!I23</f>
        <v>0</v>
      </c>
      <c r="K25" s="7">
        <f>Formulaire!J23</f>
        <v>0</v>
      </c>
      <c r="L25" s="7">
        <f>Formulaire!K23</f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"/>
      <c r="B26" s="21" t="s">
        <v>295</v>
      </c>
      <c r="C26" s="7">
        <f>Formulaire!B25</f>
        <v>0</v>
      </c>
      <c r="D26" s="7">
        <f>Formulaire!C25</f>
        <v>0</v>
      </c>
      <c r="E26" s="7">
        <f>Formulaire!D25</f>
        <v>0</v>
      </c>
      <c r="F26" s="7">
        <f>Formulaire!E25</f>
        <v>0</v>
      </c>
      <c r="G26" s="7">
        <f>Formulaire!F25</f>
        <v>0</v>
      </c>
      <c r="H26" s="7">
        <f>Formulaire!G25</f>
        <v>0</v>
      </c>
      <c r="I26" s="7">
        <f>Formulaire!H25</f>
        <v>0</v>
      </c>
      <c r="J26" s="7">
        <f>Formulaire!I25</f>
        <v>0</v>
      </c>
      <c r="K26" s="7">
        <f>Formulaire!J25</f>
        <v>0</v>
      </c>
      <c r="L26" s="7">
        <f>Formulaire!K25</f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"/>
      <c r="B27" s="21" t="s">
        <v>296</v>
      </c>
      <c r="C27" s="7">
        <f>Formulaire!B27</f>
        <v>0</v>
      </c>
      <c r="D27" s="7">
        <f>Formulaire!C27</f>
        <v>0</v>
      </c>
      <c r="E27" s="7">
        <f>Formulaire!D27</f>
        <v>0</v>
      </c>
      <c r="F27" s="7">
        <f>Formulaire!E27</f>
        <v>0</v>
      </c>
      <c r="G27" s="7">
        <f>Formulaire!F27</f>
        <v>0</v>
      </c>
      <c r="H27" s="7">
        <f>Formulaire!G27</f>
        <v>0</v>
      </c>
      <c r="I27" s="7">
        <f>Formulaire!H27</f>
        <v>0</v>
      </c>
      <c r="J27" s="7">
        <f>Formulaire!I27</f>
        <v>0</v>
      </c>
      <c r="K27" s="7">
        <f>Formulaire!J27</f>
        <v>0</v>
      </c>
      <c r="L27" s="7">
        <f>Formulaire!K27</f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"/>
      <c r="B28" s="21" t="s">
        <v>297</v>
      </c>
      <c r="C28" s="7">
        <f>Formulaire!B29</f>
        <v>0</v>
      </c>
      <c r="D28" s="7">
        <f>Formulaire!C29</f>
        <v>0</v>
      </c>
      <c r="E28" s="7">
        <f>Formulaire!D29</f>
        <v>0</v>
      </c>
      <c r="F28" s="7">
        <f>Formulaire!E29</f>
        <v>0</v>
      </c>
      <c r="G28" s="7">
        <f>Formulaire!F29</f>
        <v>0</v>
      </c>
      <c r="H28" s="7">
        <f>Formulaire!G29</f>
        <v>0</v>
      </c>
      <c r="I28" s="7">
        <f>Formulaire!H29</f>
        <v>0</v>
      </c>
      <c r="J28" s="7">
        <f>Formulaire!I29</f>
        <v>0</v>
      </c>
      <c r="K28" s="7">
        <f>Formulaire!J29</f>
        <v>0</v>
      </c>
      <c r="L28" s="7">
        <f>Formulaire!K29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"/>
      <c r="B29" s="21" t="s">
        <v>298</v>
      </c>
      <c r="C29" s="7">
        <f>Formulaire!B31</f>
        <v>0</v>
      </c>
      <c r="D29" s="7">
        <f>Formulaire!C31</f>
        <v>0</v>
      </c>
      <c r="E29" s="7">
        <f>Formulaire!D31</f>
        <v>0</v>
      </c>
      <c r="F29" s="7">
        <f>Formulaire!E31</f>
        <v>0</v>
      </c>
      <c r="G29" s="7">
        <f>Formulaire!F31</f>
        <v>0</v>
      </c>
      <c r="H29" s="7">
        <f>Formulaire!G31</f>
        <v>0</v>
      </c>
      <c r="I29" s="7">
        <f>Formulaire!H31</f>
        <v>0</v>
      </c>
      <c r="J29" s="7">
        <f>Formulaire!I31</f>
        <v>0</v>
      </c>
      <c r="K29" s="7">
        <f>Formulaire!J31</f>
        <v>0</v>
      </c>
      <c r="L29" s="7">
        <f>Formulaire!K31</f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"/>
      <c r="B30" s="21" t="s">
        <v>299</v>
      </c>
      <c r="C30" s="7">
        <f>Formulaire!B33</f>
        <v>0</v>
      </c>
      <c r="D30" s="7">
        <f>Formulaire!C33</f>
        <v>0</v>
      </c>
      <c r="E30" s="7">
        <f>Formulaire!D33</f>
        <v>0</v>
      </c>
      <c r="F30" s="7">
        <f>Formulaire!E33</f>
        <v>0</v>
      </c>
      <c r="G30" s="7">
        <f>Formulaire!F33</f>
        <v>0</v>
      </c>
      <c r="H30" s="7">
        <f>Formulaire!G33</f>
        <v>0</v>
      </c>
      <c r="I30" s="7">
        <f>Formulaire!H33</f>
        <v>0</v>
      </c>
      <c r="J30" s="7">
        <f>Formulaire!I33</f>
        <v>0</v>
      </c>
      <c r="K30" s="7">
        <f>Formulaire!J33</f>
        <v>0</v>
      </c>
      <c r="L30" s="7">
        <f>Formulaire!K33</f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/>
      <c r="B31" s="21" t="s">
        <v>300</v>
      </c>
      <c r="C31" s="7">
        <f>Formulaire!B35</f>
        <v>0</v>
      </c>
      <c r="D31" s="7">
        <f>Formulaire!C35</f>
        <v>0</v>
      </c>
      <c r="E31" s="7">
        <f>Formulaire!D35</f>
        <v>0</v>
      </c>
      <c r="F31" s="7">
        <f>Formulaire!E35</f>
        <v>0</v>
      </c>
      <c r="G31" s="7">
        <f>Formulaire!F35</f>
        <v>0</v>
      </c>
      <c r="H31" s="7">
        <f>Formulaire!G35</f>
        <v>0</v>
      </c>
      <c r="I31" s="7">
        <f>Formulaire!H35</f>
        <v>0</v>
      </c>
      <c r="J31" s="7">
        <f>Formulaire!I35</f>
        <v>0</v>
      </c>
      <c r="K31" s="7">
        <f>Formulaire!J35</f>
        <v>0</v>
      </c>
      <c r="L31" s="7">
        <f>Formulaire!K35</f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21" t="s">
        <v>301</v>
      </c>
      <c r="C32" s="7">
        <f>Formulaire!B37</f>
        <v>0</v>
      </c>
      <c r="D32" s="7">
        <f>Formulaire!C37</f>
        <v>0</v>
      </c>
      <c r="E32" s="7">
        <f>Formulaire!D37</f>
        <v>0</v>
      </c>
      <c r="F32" s="7">
        <f>Formulaire!E37</f>
        <v>0</v>
      </c>
      <c r="G32" s="7">
        <f>Formulaire!F37</f>
        <v>0</v>
      </c>
      <c r="H32" s="7">
        <f>Formulaire!G37</f>
        <v>0</v>
      </c>
      <c r="I32" s="7">
        <f>Formulaire!H37</f>
        <v>0</v>
      </c>
      <c r="J32" s="7">
        <f>Formulaire!I37</f>
        <v>0</v>
      </c>
      <c r="K32" s="7">
        <f>Formulaire!J37</f>
        <v>0</v>
      </c>
      <c r="L32" s="7">
        <f>Formulaire!K37</f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/>
      <c r="B33" s="21" t="s">
        <v>302</v>
      </c>
      <c r="C33" s="7">
        <f>Formulaire!B39</f>
        <v>0</v>
      </c>
      <c r="D33" s="7">
        <f>Formulaire!C39</f>
        <v>0</v>
      </c>
      <c r="E33" s="7">
        <f>Formulaire!D39</f>
        <v>0</v>
      </c>
      <c r="F33" s="7">
        <f>Formulaire!E39</f>
        <v>0</v>
      </c>
      <c r="G33" s="7">
        <f>Formulaire!F39</f>
        <v>0</v>
      </c>
      <c r="H33" s="7">
        <f>Formulaire!G39</f>
        <v>0</v>
      </c>
      <c r="I33" s="7">
        <f>Formulaire!H39</f>
        <v>0</v>
      </c>
      <c r="J33" s="7">
        <f>Formulaire!I39</f>
        <v>0</v>
      </c>
      <c r="K33" s="7">
        <f>Formulaire!J39</f>
        <v>0</v>
      </c>
      <c r="L33" s="7">
        <f>Formulaire!K39</f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/>
      <c r="B34" s="21" t="s">
        <v>303</v>
      </c>
      <c r="C34" s="7">
        <f>Formulaire!B41</f>
        <v>0</v>
      </c>
      <c r="D34" s="7">
        <f>Formulaire!C41</f>
        <v>0</v>
      </c>
      <c r="E34" s="7">
        <f>Formulaire!D41</f>
        <v>0</v>
      </c>
      <c r="F34" s="7">
        <f>Formulaire!E41</f>
        <v>0</v>
      </c>
      <c r="G34" s="7">
        <f>Formulaire!F41</f>
        <v>0</v>
      </c>
      <c r="H34" s="7">
        <f>Formulaire!G41</f>
        <v>0</v>
      </c>
      <c r="I34" s="7">
        <f>Formulaire!H41</f>
        <v>0</v>
      </c>
      <c r="J34" s="7">
        <f>Formulaire!I41</f>
        <v>0</v>
      </c>
      <c r="K34" s="7">
        <f>Formulaire!J41</f>
        <v>0</v>
      </c>
      <c r="L34" s="7">
        <f>Formulaire!K41</f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"/>
      <c r="B35" s="21" t="s">
        <v>304</v>
      </c>
      <c r="C35" s="7">
        <f>Formulaire!B43</f>
        <v>0</v>
      </c>
      <c r="D35" s="7">
        <f>Formulaire!C43</f>
        <v>0</v>
      </c>
      <c r="E35" s="7">
        <f>Formulaire!D43</f>
        <v>0</v>
      </c>
      <c r="F35" s="7">
        <f>Formulaire!E43</f>
        <v>0</v>
      </c>
      <c r="G35" s="7">
        <f>Formulaire!F43</f>
        <v>0</v>
      </c>
      <c r="H35" s="7">
        <f>Formulaire!G43</f>
        <v>0</v>
      </c>
      <c r="I35" s="7">
        <f>Formulaire!H43</f>
        <v>0</v>
      </c>
      <c r="J35" s="7">
        <f>Formulaire!I43</f>
        <v>0</v>
      </c>
      <c r="K35" s="7">
        <f>Formulaire!J43</f>
        <v>0</v>
      </c>
      <c r="L35" s="7">
        <f>Formulaire!K43</f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/>
      <c r="B36" s="21" t="s">
        <v>305</v>
      </c>
      <c r="C36" s="7">
        <f>Formulaire!B45</f>
        <v>0</v>
      </c>
      <c r="D36" s="7">
        <f>Formulaire!C45</f>
        <v>0</v>
      </c>
      <c r="E36" s="7">
        <f>Formulaire!D45</f>
        <v>0</v>
      </c>
      <c r="F36" s="7">
        <f>Formulaire!E45</f>
        <v>0</v>
      </c>
      <c r="G36" s="7">
        <f>Formulaire!F45</f>
        <v>0</v>
      </c>
      <c r="H36" s="7">
        <f>Formulaire!G45</f>
        <v>0</v>
      </c>
      <c r="I36" s="7">
        <f>Formulaire!H45</f>
        <v>0</v>
      </c>
      <c r="J36" s="7">
        <f>Formulaire!I45</f>
        <v>0</v>
      </c>
      <c r="K36" s="7">
        <f>Formulaire!J45</f>
        <v>0</v>
      </c>
      <c r="L36" s="7">
        <f>Formulaire!K45</f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21" t="s">
        <v>306</v>
      </c>
      <c r="C37" s="7">
        <f>Formulaire!B47</f>
        <v>0</v>
      </c>
      <c r="D37" s="7">
        <f>Formulaire!C47</f>
        <v>0</v>
      </c>
      <c r="E37" s="7">
        <f>Formulaire!D47</f>
        <v>0</v>
      </c>
      <c r="F37" s="7">
        <f>Formulaire!E47</f>
        <v>0</v>
      </c>
      <c r="G37" s="7">
        <f>Formulaire!F47</f>
        <v>0</v>
      </c>
      <c r="H37" s="7">
        <f>Formulaire!G47</f>
        <v>0</v>
      </c>
      <c r="I37" s="7">
        <f>Formulaire!H47</f>
        <v>0</v>
      </c>
      <c r="J37" s="7">
        <f>Formulaire!I47</f>
        <v>0</v>
      </c>
      <c r="K37" s="7">
        <f>Formulaire!J47</f>
        <v>0</v>
      </c>
      <c r="L37" s="7">
        <f>Formulaire!K47</f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21" t="s">
        <v>307</v>
      </c>
      <c r="C38" s="7">
        <f>Formulaire!B49</f>
        <v>0</v>
      </c>
      <c r="D38" s="7">
        <f>Formulaire!C49</f>
        <v>0</v>
      </c>
      <c r="E38" s="7">
        <f>Formulaire!D49</f>
        <v>0</v>
      </c>
      <c r="F38" s="7">
        <f>Formulaire!E49</f>
        <v>0</v>
      </c>
      <c r="G38" s="7">
        <f>Formulaire!F49</f>
        <v>0</v>
      </c>
      <c r="H38" s="7">
        <f>Formulaire!G49</f>
        <v>0</v>
      </c>
      <c r="I38" s="7">
        <f>Formulaire!H49</f>
        <v>0</v>
      </c>
      <c r="J38" s="7">
        <f>Formulaire!I49</f>
        <v>0</v>
      </c>
      <c r="K38" s="7">
        <f>Formulaire!J49</f>
        <v>0</v>
      </c>
      <c r="L38" s="7">
        <f>Formulaire!K49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21" t="s">
        <v>308</v>
      </c>
      <c r="C39" s="7">
        <f>Formulaire!B51</f>
        <v>0</v>
      </c>
      <c r="D39" s="7">
        <f>Formulaire!C51</f>
        <v>0</v>
      </c>
      <c r="E39" s="7">
        <f>Formulaire!D51</f>
        <v>0</v>
      </c>
      <c r="F39" s="7">
        <f>Formulaire!E51</f>
        <v>0</v>
      </c>
      <c r="G39" s="7">
        <f>Formulaire!F51</f>
        <v>0</v>
      </c>
      <c r="H39" s="7">
        <f>Formulaire!G51</f>
        <v>0</v>
      </c>
      <c r="I39" s="7">
        <f>Formulaire!H51</f>
        <v>0</v>
      </c>
      <c r="J39" s="7">
        <f>Formulaire!I51</f>
        <v>0</v>
      </c>
      <c r="K39" s="7">
        <f>Formulaire!J51</f>
        <v>0</v>
      </c>
      <c r="L39" s="7">
        <f>Formulaire!K51</f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21" t="s">
        <v>309</v>
      </c>
      <c r="C40" s="7">
        <f>Formulaire!B53</f>
        <v>0</v>
      </c>
      <c r="D40" s="7">
        <f>Formulaire!C53</f>
        <v>0</v>
      </c>
      <c r="E40" s="7">
        <f>Formulaire!D53</f>
        <v>0</v>
      </c>
      <c r="F40" s="7">
        <f>Formulaire!E53</f>
        <v>0</v>
      </c>
      <c r="G40" s="7">
        <f>Formulaire!F53</f>
        <v>0</v>
      </c>
      <c r="H40" s="7">
        <f>Formulaire!G53</f>
        <v>0</v>
      </c>
      <c r="I40" s="7">
        <f>Formulaire!H53</f>
        <v>0</v>
      </c>
      <c r="J40" s="7">
        <f>Formulaire!I53</f>
        <v>0</v>
      </c>
      <c r="K40" s="7">
        <f>Formulaire!J53</f>
        <v>0</v>
      </c>
      <c r="L40" s="7">
        <f>Formulaire!K53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21" t="s">
        <v>310</v>
      </c>
      <c r="C41" s="7">
        <f>Formulaire!B55</f>
        <v>0</v>
      </c>
      <c r="D41" s="7">
        <f>Formulaire!C55</f>
        <v>0</v>
      </c>
      <c r="E41" s="7">
        <f>Formulaire!D55</f>
        <v>0</v>
      </c>
      <c r="F41" s="7">
        <f>Formulaire!E55</f>
        <v>0</v>
      </c>
      <c r="G41" s="7">
        <f>Formulaire!F55</f>
        <v>0</v>
      </c>
      <c r="H41" s="7">
        <f>Formulaire!G55</f>
        <v>0</v>
      </c>
      <c r="I41" s="7">
        <f>Formulaire!H55</f>
        <v>0</v>
      </c>
      <c r="J41" s="7">
        <f>Formulaire!I55</f>
        <v>0</v>
      </c>
      <c r="K41" s="7">
        <f>Formulaire!J55</f>
        <v>0</v>
      </c>
      <c r="L41" s="7">
        <f>Formulaire!K55</f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21" t="s">
        <v>311</v>
      </c>
      <c r="C42" s="7">
        <f>Formulaire!B57</f>
        <v>0</v>
      </c>
      <c r="D42" s="7">
        <f>Formulaire!C57</f>
        <v>0</v>
      </c>
      <c r="E42" s="7">
        <f>Formulaire!D57</f>
        <v>0</v>
      </c>
      <c r="F42" s="7">
        <f>Formulaire!E57</f>
        <v>0</v>
      </c>
      <c r="G42" s="7">
        <f>Formulaire!F57</f>
        <v>0</v>
      </c>
      <c r="H42" s="7">
        <f>Formulaire!G57</f>
        <v>0</v>
      </c>
      <c r="I42" s="7">
        <f>Formulaire!H57</f>
        <v>0</v>
      </c>
      <c r="J42" s="7">
        <f>Formulaire!I57</f>
        <v>0</v>
      </c>
      <c r="K42" s="7">
        <f>Formulaire!J57</f>
        <v>0</v>
      </c>
      <c r="L42" s="7">
        <f>Formulaire!K57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21" t="s">
        <v>312</v>
      </c>
      <c r="C43" s="7">
        <f>Formulaire!B59</f>
        <v>0</v>
      </c>
      <c r="D43" s="7">
        <f>Formulaire!C59</f>
        <v>0</v>
      </c>
      <c r="E43" s="7">
        <f>Formulaire!D59</f>
        <v>0</v>
      </c>
      <c r="F43" s="7">
        <f>Formulaire!E59</f>
        <v>0</v>
      </c>
      <c r="G43" s="7">
        <f>Formulaire!F59</f>
        <v>0</v>
      </c>
      <c r="H43" s="7">
        <f>Formulaire!G59</f>
        <v>0</v>
      </c>
      <c r="I43" s="7">
        <f>Formulaire!H59</f>
        <v>0</v>
      </c>
      <c r="J43" s="7">
        <f>Formulaire!I59</f>
        <v>0</v>
      </c>
      <c r="K43" s="7">
        <f>Formulaire!J59</f>
        <v>0</v>
      </c>
      <c r="L43" s="7">
        <f>Formulaire!K59</f>
        <v>0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21" t="s">
        <v>313</v>
      </c>
      <c r="C44" s="7">
        <f>Formulaire!B61</f>
        <v>0</v>
      </c>
      <c r="D44" s="7">
        <f>Formulaire!C61</f>
        <v>0</v>
      </c>
      <c r="E44" s="7">
        <f>Formulaire!D61</f>
        <v>0</v>
      </c>
      <c r="F44" s="7">
        <f>Formulaire!E61</f>
        <v>0</v>
      </c>
      <c r="G44" s="7">
        <f>Formulaire!F61</f>
        <v>0</v>
      </c>
      <c r="H44" s="7">
        <f>Formulaire!G61</f>
        <v>0</v>
      </c>
      <c r="I44" s="7">
        <f>Formulaire!H61</f>
        <v>0</v>
      </c>
      <c r="J44" s="7">
        <f>Formulaire!I61</f>
        <v>0</v>
      </c>
      <c r="K44" s="7">
        <f>Formulaire!J61</f>
        <v>0</v>
      </c>
      <c r="L44" s="7">
        <f>Formulaire!K61</f>
        <v>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21" t="s">
        <v>314</v>
      </c>
      <c r="C45" s="7">
        <f>Formulaire!B63</f>
        <v>0</v>
      </c>
      <c r="D45" s="7">
        <f>Formulaire!C63</f>
        <v>0</v>
      </c>
      <c r="E45" s="7">
        <f>Formulaire!D63</f>
        <v>0</v>
      </c>
      <c r="F45" s="7">
        <f>Formulaire!E63</f>
        <v>0</v>
      </c>
      <c r="G45" s="7">
        <f>Formulaire!F63</f>
        <v>0</v>
      </c>
      <c r="H45" s="7">
        <f>Formulaire!G63</f>
        <v>0</v>
      </c>
      <c r="I45" s="7">
        <f>Formulaire!H63</f>
        <v>0</v>
      </c>
      <c r="J45" s="7">
        <f>Formulaire!I63</f>
        <v>0</v>
      </c>
      <c r="K45" s="7">
        <f>Formulaire!J63</f>
        <v>0</v>
      </c>
      <c r="L45" s="7">
        <f>Formulaire!K63</f>
        <v>0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21" t="s">
        <v>315</v>
      </c>
      <c r="C46" s="7">
        <f>Formulaire!B65</f>
        <v>0</v>
      </c>
      <c r="D46" s="7">
        <f>Formulaire!C65</f>
        <v>0</v>
      </c>
      <c r="E46" s="7">
        <f>Formulaire!D65</f>
        <v>0</v>
      </c>
      <c r="F46" s="7">
        <f>Formulaire!E65</f>
        <v>0</v>
      </c>
      <c r="G46" s="7">
        <f>Formulaire!F65</f>
        <v>0</v>
      </c>
      <c r="H46" s="7">
        <f>Formulaire!G65</f>
        <v>0</v>
      </c>
      <c r="I46" s="7">
        <f>Formulaire!H65</f>
        <v>0</v>
      </c>
      <c r="J46" s="7">
        <f>Formulaire!I65</f>
        <v>0</v>
      </c>
      <c r="K46" s="7">
        <f>Formulaire!J65</f>
        <v>0</v>
      </c>
      <c r="L46" s="7">
        <f>Formulaire!K65</f>
        <v>0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21" t="s">
        <v>316</v>
      </c>
      <c r="C47" s="7">
        <f>Formulaire!B67</f>
        <v>0</v>
      </c>
      <c r="D47" s="7">
        <f>Formulaire!C67</f>
        <v>0</v>
      </c>
      <c r="E47" s="7">
        <f>Formulaire!D67</f>
        <v>0</v>
      </c>
      <c r="F47" s="7">
        <f>Formulaire!E67</f>
        <v>0</v>
      </c>
      <c r="G47" s="7">
        <f>Formulaire!F67</f>
        <v>0</v>
      </c>
      <c r="H47" s="7">
        <f>Formulaire!G67</f>
        <v>0</v>
      </c>
      <c r="I47" s="7">
        <f>Formulaire!H67</f>
        <v>0</v>
      </c>
      <c r="J47" s="7">
        <f>Formulaire!I67</f>
        <v>0</v>
      </c>
      <c r="K47" s="7">
        <f>Formulaire!J67</f>
        <v>0</v>
      </c>
      <c r="L47" s="7">
        <f>Formulaire!K67</f>
        <v>0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21" t="s">
        <v>317</v>
      </c>
      <c r="C48" s="7">
        <f>Formulaire!B69</f>
        <v>0</v>
      </c>
      <c r="D48" s="7">
        <f>Formulaire!C69</f>
        <v>0</v>
      </c>
      <c r="E48" s="7">
        <f>Formulaire!D69</f>
        <v>0</v>
      </c>
      <c r="F48" s="7">
        <f>Formulaire!E69</f>
        <v>0</v>
      </c>
      <c r="G48" s="7">
        <f>Formulaire!F69</f>
        <v>0</v>
      </c>
      <c r="H48" s="7">
        <f>Formulaire!G69</f>
        <v>0</v>
      </c>
      <c r="I48" s="7">
        <f>Formulaire!H69</f>
        <v>0</v>
      </c>
      <c r="J48" s="7">
        <f>Formulaire!I69</f>
        <v>0</v>
      </c>
      <c r="K48" s="7">
        <f>Formulaire!J69</f>
        <v>0</v>
      </c>
      <c r="L48" s="7">
        <f>Formulaire!K69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21" t="s">
        <v>318</v>
      </c>
      <c r="C49" s="7">
        <f>Formulaire!B71</f>
        <v>0</v>
      </c>
      <c r="D49" s="7">
        <f>Formulaire!C71</f>
        <v>0</v>
      </c>
      <c r="E49" s="7">
        <f>Formulaire!D71</f>
        <v>0</v>
      </c>
      <c r="F49" s="7">
        <f>Formulaire!E71</f>
        <v>0</v>
      </c>
      <c r="G49" s="7">
        <f>Formulaire!F71</f>
        <v>0</v>
      </c>
      <c r="H49" s="7">
        <f>Formulaire!G71</f>
        <v>0</v>
      </c>
      <c r="I49" s="7">
        <f>Formulaire!H71</f>
        <v>0</v>
      </c>
      <c r="J49" s="7">
        <f>Formulaire!I71</f>
        <v>0</v>
      </c>
      <c r="K49" s="7">
        <f>Formulaire!J71</f>
        <v>0</v>
      </c>
      <c r="L49" s="7">
        <f>Formulaire!K71</f>
        <v>0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21" t="s">
        <v>319</v>
      </c>
      <c r="C50" s="7">
        <f>Formulaire!B73</f>
        <v>0</v>
      </c>
      <c r="D50" s="7">
        <f>Formulaire!C73</f>
        <v>0</v>
      </c>
      <c r="E50" s="7">
        <f>Formulaire!D73</f>
        <v>0</v>
      </c>
      <c r="F50" s="7">
        <f>Formulaire!E73</f>
        <v>0</v>
      </c>
      <c r="G50" s="7">
        <f>Formulaire!F73</f>
        <v>0</v>
      </c>
      <c r="H50" s="7">
        <f>Formulaire!G73</f>
        <v>0</v>
      </c>
      <c r="I50" s="7">
        <f>Formulaire!H73</f>
        <v>0</v>
      </c>
      <c r="J50" s="7">
        <f>Formulaire!I73</f>
        <v>0</v>
      </c>
      <c r="K50" s="7">
        <f>Formulaire!J73</f>
        <v>0</v>
      </c>
      <c r="L50" s="7">
        <f>Formulaire!K73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21" t="s">
        <v>320</v>
      </c>
      <c r="C51" s="7">
        <f>Formulaire!B75</f>
        <v>0</v>
      </c>
      <c r="D51" s="7">
        <f>Formulaire!C75</f>
        <v>0</v>
      </c>
      <c r="E51" s="7">
        <f>Formulaire!D75</f>
        <v>0</v>
      </c>
      <c r="F51" s="7">
        <f>Formulaire!E75</f>
        <v>0</v>
      </c>
      <c r="G51" s="7">
        <f>Formulaire!F75</f>
        <v>0</v>
      </c>
      <c r="H51" s="7">
        <f>Formulaire!G75</f>
        <v>0</v>
      </c>
      <c r="I51" s="7">
        <f>Formulaire!H75</f>
        <v>0</v>
      </c>
      <c r="J51" s="7">
        <f>Formulaire!I75</f>
        <v>0</v>
      </c>
      <c r="K51" s="7">
        <f>Formulaire!J75</f>
        <v>0</v>
      </c>
      <c r="L51" s="7">
        <f>Formulaire!K75</f>
        <v>0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21" t="s">
        <v>321</v>
      </c>
      <c r="C52" s="7">
        <f>Formulaire!B77</f>
        <v>0</v>
      </c>
      <c r="D52" s="7">
        <f>Formulaire!C77</f>
        <v>0</v>
      </c>
      <c r="E52" s="7">
        <f>Formulaire!D77</f>
        <v>0</v>
      </c>
      <c r="F52" s="7">
        <f>Formulaire!E77</f>
        <v>0</v>
      </c>
      <c r="G52" s="7">
        <f>Formulaire!F77</f>
        <v>0</v>
      </c>
      <c r="H52" s="7">
        <f>Formulaire!G77</f>
        <v>0</v>
      </c>
      <c r="I52" s="7">
        <f>Formulaire!H77</f>
        <v>0</v>
      </c>
      <c r="J52" s="7">
        <f>Formulaire!I77</f>
        <v>0</v>
      </c>
      <c r="K52" s="7">
        <f>Formulaire!J77</f>
        <v>0</v>
      </c>
      <c r="L52" s="7">
        <f>Formulaire!K77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21" t="s">
        <v>322</v>
      </c>
      <c r="C53" s="7">
        <f>Formulaire!B79</f>
        <v>0</v>
      </c>
      <c r="D53" s="7">
        <f>Formulaire!C79</f>
        <v>0</v>
      </c>
      <c r="E53" s="7">
        <f>Formulaire!D79</f>
        <v>0</v>
      </c>
      <c r="F53" s="7">
        <f>Formulaire!E79</f>
        <v>0</v>
      </c>
      <c r="G53" s="7">
        <f>Formulaire!F79</f>
        <v>0</v>
      </c>
      <c r="H53" s="7">
        <f>Formulaire!G79</f>
        <v>0</v>
      </c>
      <c r="I53" s="7">
        <f>Formulaire!H79</f>
        <v>0</v>
      </c>
      <c r="J53" s="7">
        <f>Formulaire!I79</f>
        <v>0</v>
      </c>
      <c r="K53" s="7">
        <f>Formulaire!J79</f>
        <v>0</v>
      </c>
      <c r="L53" s="7">
        <f>Formulaire!K79</f>
        <v>0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21" t="s">
        <v>323</v>
      </c>
      <c r="C54" s="7">
        <f>Formulaire!B81</f>
        <v>0</v>
      </c>
      <c r="D54" s="7">
        <f>Formulaire!C81</f>
        <v>0</v>
      </c>
      <c r="E54" s="7">
        <f>Formulaire!D81</f>
        <v>0</v>
      </c>
      <c r="F54" s="7">
        <f>Formulaire!E81</f>
        <v>0</v>
      </c>
      <c r="G54" s="7">
        <f>Formulaire!F81</f>
        <v>0</v>
      </c>
      <c r="H54" s="7">
        <f>Formulaire!G81</f>
        <v>0</v>
      </c>
      <c r="I54" s="7">
        <f>Formulaire!H81</f>
        <v>0</v>
      </c>
      <c r="J54" s="7">
        <f>Formulaire!I81</f>
        <v>0</v>
      </c>
      <c r="K54" s="7">
        <f>Formulaire!J81</f>
        <v>0</v>
      </c>
      <c r="L54" s="7">
        <f>Formulaire!K81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21" t="s">
        <v>324</v>
      </c>
      <c r="C55" s="7">
        <f>Formulaire!B83</f>
        <v>0</v>
      </c>
      <c r="D55" s="7">
        <f>Formulaire!C83</f>
        <v>0</v>
      </c>
      <c r="E55" s="7">
        <f>Formulaire!D83</f>
        <v>0</v>
      </c>
      <c r="F55" s="7">
        <f>Formulaire!E83</f>
        <v>0</v>
      </c>
      <c r="G55" s="7">
        <f>Formulaire!F83</f>
        <v>0</v>
      </c>
      <c r="H55" s="7">
        <f>Formulaire!G83</f>
        <v>0</v>
      </c>
      <c r="I55" s="7">
        <f>Formulaire!H83</f>
        <v>0</v>
      </c>
      <c r="J55" s="7">
        <f>Formulaire!I83</f>
        <v>0</v>
      </c>
      <c r="K55" s="7">
        <f>Formulaire!J83</f>
        <v>0</v>
      </c>
      <c r="L55" s="7">
        <f>Formulaire!K83</f>
        <v>0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21" t="s">
        <v>325</v>
      </c>
      <c r="C56" s="7">
        <f>Formulaire!B85</f>
        <v>0</v>
      </c>
      <c r="D56" s="7">
        <f>Formulaire!C85</f>
        <v>0</v>
      </c>
      <c r="E56" s="7">
        <f>Formulaire!D85</f>
        <v>0</v>
      </c>
      <c r="F56" s="7">
        <f>Formulaire!E85</f>
        <v>0</v>
      </c>
      <c r="G56" s="7">
        <f>Formulaire!F85</f>
        <v>0</v>
      </c>
      <c r="H56" s="7">
        <f>Formulaire!G85</f>
        <v>0</v>
      </c>
      <c r="I56" s="7">
        <f>Formulaire!H85</f>
        <v>0</v>
      </c>
      <c r="J56" s="7">
        <f>Formulaire!I85</f>
        <v>0</v>
      </c>
      <c r="K56" s="7">
        <f>Formulaire!J85</f>
        <v>0</v>
      </c>
      <c r="L56" s="7">
        <f>Formulaire!K85</f>
        <v>0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21" t="s">
        <v>326</v>
      </c>
      <c r="C57" s="7">
        <f>Formulaire!B87</f>
        <v>0</v>
      </c>
      <c r="D57" s="7">
        <f>Formulaire!C87</f>
        <v>0</v>
      </c>
      <c r="E57" s="7">
        <f>Formulaire!D87</f>
        <v>0</v>
      </c>
      <c r="F57" s="7">
        <f>Formulaire!E87</f>
        <v>0</v>
      </c>
      <c r="G57" s="7">
        <f>Formulaire!F87</f>
        <v>0</v>
      </c>
      <c r="H57" s="7">
        <f>Formulaire!G87</f>
        <v>0</v>
      </c>
      <c r="I57" s="7">
        <f>Formulaire!H87</f>
        <v>0</v>
      </c>
      <c r="J57" s="7">
        <f>Formulaire!I87</f>
        <v>0</v>
      </c>
      <c r="K57" s="7">
        <f>Formulaire!J87</f>
        <v>0</v>
      </c>
      <c r="L57" s="7">
        <f>Formulaire!K87</f>
        <v>0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21" t="s">
        <v>327</v>
      </c>
      <c r="C58" s="7">
        <f>Formulaire!B89</f>
        <v>0</v>
      </c>
      <c r="D58" s="7">
        <f>Formulaire!C89</f>
        <v>0</v>
      </c>
      <c r="E58" s="7">
        <f>Formulaire!D89</f>
        <v>0</v>
      </c>
      <c r="F58" s="7">
        <f>Formulaire!E89</f>
        <v>0</v>
      </c>
      <c r="G58" s="7">
        <f>Formulaire!F89</f>
        <v>0</v>
      </c>
      <c r="H58" s="7">
        <f>Formulaire!G89</f>
        <v>0</v>
      </c>
      <c r="I58" s="7">
        <f>Formulaire!H89</f>
        <v>0</v>
      </c>
      <c r="J58" s="7">
        <f>Formulaire!I89</f>
        <v>0</v>
      </c>
      <c r="K58" s="7">
        <f>Formulaire!J89</f>
        <v>0</v>
      </c>
      <c r="L58" s="7">
        <f>Formulaire!K89</f>
        <v>0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21" t="s">
        <v>328</v>
      </c>
      <c r="C59" s="7">
        <f>Formulaire!B91</f>
        <v>0</v>
      </c>
      <c r="D59" s="7">
        <f>Formulaire!C91</f>
        <v>0</v>
      </c>
      <c r="E59" s="7">
        <f>Formulaire!D91</f>
        <v>0</v>
      </c>
      <c r="F59" s="7">
        <f>Formulaire!E91</f>
        <v>0</v>
      </c>
      <c r="G59" s="7">
        <f>Formulaire!F91</f>
        <v>0</v>
      </c>
      <c r="H59" s="7">
        <f>Formulaire!G91</f>
        <v>0</v>
      </c>
      <c r="I59" s="7">
        <f>Formulaire!H91</f>
        <v>0</v>
      </c>
      <c r="J59" s="7">
        <f>Formulaire!I91</f>
        <v>0</v>
      </c>
      <c r="K59" s="7">
        <f>Formulaire!J91</f>
        <v>0</v>
      </c>
      <c r="L59" s="7">
        <f>Formulaire!K91</f>
        <v>0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14"/>
      <c r="B60" s="32"/>
      <c r="C60" s="14" t="s">
        <v>51</v>
      </c>
      <c r="D60" s="14" t="s">
        <v>52</v>
      </c>
      <c r="E60" s="14" t="s">
        <v>330</v>
      </c>
      <c r="F60" s="14" t="s">
        <v>61</v>
      </c>
      <c r="G60" s="14" t="s">
        <v>53</v>
      </c>
      <c r="H60" s="14" t="s">
        <v>331</v>
      </c>
      <c r="I60" s="14" t="s">
        <v>546</v>
      </c>
      <c r="J60" s="14" t="s">
        <v>332</v>
      </c>
      <c r="K60" s="14" t="s">
        <v>54</v>
      </c>
      <c r="L60" s="14" t="s">
        <v>333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3">
      <c r="A61" s="7"/>
      <c r="B61" s="19" t="s">
        <v>334</v>
      </c>
      <c r="C61" s="7">
        <f t="shared" ref="C61" si="0">COUNTIF(C20:C59,1)</f>
        <v>0</v>
      </c>
      <c r="D61" s="7">
        <f t="shared" ref="D61:L61" si="1">COUNTIF(D20:D59,1)</f>
        <v>0</v>
      </c>
      <c r="E61" s="7">
        <f t="shared" si="1"/>
        <v>0</v>
      </c>
      <c r="F61" s="7">
        <f t="shared" si="1"/>
        <v>0</v>
      </c>
      <c r="G61" s="7">
        <f t="shared" si="1"/>
        <v>0</v>
      </c>
      <c r="H61" s="7">
        <f t="shared" si="1"/>
        <v>0</v>
      </c>
      <c r="I61" s="7">
        <f t="shared" si="1"/>
        <v>0</v>
      </c>
      <c r="J61" s="7">
        <f t="shared" si="1"/>
        <v>0</v>
      </c>
      <c r="K61" s="7">
        <f t="shared" si="1"/>
        <v>0</v>
      </c>
      <c r="L61" s="7">
        <f t="shared" si="1"/>
        <v>0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19" t="s">
        <v>335</v>
      </c>
      <c r="C62" s="7">
        <f>COUNTIF(C20:C59,2)</f>
        <v>0</v>
      </c>
      <c r="D62" s="7">
        <f t="shared" ref="D62:L62" si="2">COUNTIF(D20:D59,2)</f>
        <v>0</v>
      </c>
      <c r="E62" s="7">
        <f t="shared" si="2"/>
        <v>0</v>
      </c>
      <c r="F62" s="7">
        <f t="shared" si="2"/>
        <v>0</v>
      </c>
      <c r="G62" s="7">
        <f t="shared" si="2"/>
        <v>0</v>
      </c>
      <c r="H62" s="7">
        <f t="shared" si="2"/>
        <v>0</v>
      </c>
      <c r="I62" s="7">
        <f t="shared" si="2"/>
        <v>0</v>
      </c>
      <c r="J62" s="7">
        <f t="shared" si="2"/>
        <v>0</v>
      </c>
      <c r="K62" s="7">
        <f t="shared" si="2"/>
        <v>0</v>
      </c>
      <c r="L62" s="7">
        <f t="shared" si="2"/>
        <v>0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19" t="s">
        <v>336</v>
      </c>
      <c r="C63" s="7">
        <f>COUNTIF(C20:C59,3)</f>
        <v>0</v>
      </c>
      <c r="D63" s="7">
        <f t="shared" ref="D63:L63" si="3">COUNTIF(D20:D59,3)</f>
        <v>0</v>
      </c>
      <c r="E63" s="7">
        <f t="shared" si="3"/>
        <v>0</v>
      </c>
      <c r="F63" s="7">
        <f t="shared" si="3"/>
        <v>0</v>
      </c>
      <c r="G63" s="7">
        <f t="shared" si="3"/>
        <v>0</v>
      </c>
      <c r="H63" s="7">
        <f t="shared" si="3"/>
        <v>0</v>
      </c>
      <c r="I63" s="7">
        <f t="shared" si="3"/>
        <v>0</v>
      </c>
      <c r="J63" s="7">
        <f t="shared" si="3"/>
        <v>0</v>
      </c>
      <c r="K63" s="7">
        <f t="shared" si="3"/>
        <v>0</v>
      </c>
      <c r="L63" s="7">
        <f t="shared" si="3"/>
        <v>0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19" t="s">
        <v>337</v>
      </c>
      <c r="C64" s="7">
        <f>COUNTIF(C20:C59,4)</f>
        <v>0</v>
      </c>
      <c r="D64" s="7">
        <f t="shared" ref="D64:L64" si="4">COUNTIF(D20:D59,4)</f>
        <v>0</v>
      </c>
      <c r="E64" s="7">
        <f t="shared" si="4"/>
        <v>0</v>
      </c>
      <c r="F64" s="7">
        <f t="shared" si="4"/>
        <v>0</v>
      </c>
      <c r="G64" s="7">
        <f t="shared" si="4"/>
        <v>0</v>
      </c>
      <c r="H64" s="7">
        <f t="shared" si="4"/>
        <v>0</v>
      </c>
      <c r="I64" s="7">
        <f t="shared" si="4"/>
        <v>0</v>
      </c>
      <c r="J64" s="7">
        <f t="shared" si="4"/>
        <v>0</v>
      </c>
      <c r="K64" s="7">
        <f t="shared" si="4"/>
        <v>0</v>
      </c>
      <c r="L64" s="7">
        <f t="shared" si="4"/>
        <v>0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19" t="s">
        <v>338</v>
      </c>
      <c r="C65" s="7">
        <f>COUNTIF(C20:C59,5)</f>
        <v>0</v>
      </c>
      <c r="D65" s="7">
        <f t="shared" ref="D65:L65" si="5">COUNTIF(D20:D59,5)</f>
        <v>0</v>
      </c>
      <c r="E65" s="7">
        <f t="shared" si="5"/>
        <v>0</v>
      </c>
      <c r="F65" s="7">
        <f t="shared" si="5"/>
        <v>0</v>
      </c>
      <c r="G65" s="7">
        <f t="shared" si="5"/>
        <v>0</v>
      </c>
      <c r="H65" s="7">
        <f t="shared" si="5"/>
        <v>0</v>
      </c>
      <c r="I65" s="7">
        <f t="shared" si="5"/>
        <v>0</v>
      </c>
      <c r="J65" s="7">
        <f t="shared" si="5"/>
        <v>0</v>
      </c>
      <c r="K65" s="7">
        <f t="shared" si="5"/>
        <v>0</v>
      </c>
      <c r="L65" s="7">
        <f t="shared" si="5"/>
        <v>0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1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1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1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1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1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1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1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1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1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1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1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1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1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1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1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1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1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69" customHeight="1" x14ac:dyDescent="0.3">
      <c r="A84" s="7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 t="s">
        <v>44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1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1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1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1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1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1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1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1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1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1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1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1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1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1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1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1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1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1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1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1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1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1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1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1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1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1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1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1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1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1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1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1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1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1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1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1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1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1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1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1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1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1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1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1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1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1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1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1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1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1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1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1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1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1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1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1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1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1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1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1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1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1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1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1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1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1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1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1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1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1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1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1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1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1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1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1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1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1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1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1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1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1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1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1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1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1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1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1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1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1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1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1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1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1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1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1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1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1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1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1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1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1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1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1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1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1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1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1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1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1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1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1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1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1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1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1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1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1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1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1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1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1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1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1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1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1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1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1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1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1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1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1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1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1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1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1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1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1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1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1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1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1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1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1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1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1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1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1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1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1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1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1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1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1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1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1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1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1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1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1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1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1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1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1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1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1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1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1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1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1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1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1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1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1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1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1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1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1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1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1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1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1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1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1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1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1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1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1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1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1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1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1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1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1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1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1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1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1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1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1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1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1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1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1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1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1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1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1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1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1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1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1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1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1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1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1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1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1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1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1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1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1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1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1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1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1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1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1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1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1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1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1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1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1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1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1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1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1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1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1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1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1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1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1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1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1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1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1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1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1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1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1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1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1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1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1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1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1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1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1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1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1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1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1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1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1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1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1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1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1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1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1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1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1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1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1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1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1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1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1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1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1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1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1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1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1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1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1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1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1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1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1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1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1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1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1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1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1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1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1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1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1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1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1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1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1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1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1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1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1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1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1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1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1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1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1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1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1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1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1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1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1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1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1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1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1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1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1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1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1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1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1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1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1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1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1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1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1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1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1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1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1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1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1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1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1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1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1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1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1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1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1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1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1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1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1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1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1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1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1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1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1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1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1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1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1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1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1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1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1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1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1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1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1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1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1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1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1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1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1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1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1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1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1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1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1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1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1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1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1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1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1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1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1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1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1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1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1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1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1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1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1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1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1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1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1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1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1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1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1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1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1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1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1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1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1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1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1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1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1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1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1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1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1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1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1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1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1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1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1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1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1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1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1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1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1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1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1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1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1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1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1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1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1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1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1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1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1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1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1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1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1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1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1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1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1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1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1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1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1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1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1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1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1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1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1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1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1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1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1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1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1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1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1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1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1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1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1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1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1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1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1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1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1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1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1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1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1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1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1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1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1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1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1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1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1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1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1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1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1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1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1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1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1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1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1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1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1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1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1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1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1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1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1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1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1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1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1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1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1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1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1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1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1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1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1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1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1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1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1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1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1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1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1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1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1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1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1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1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1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1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1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1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1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1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1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1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1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1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1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1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1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1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1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1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1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1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1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1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1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1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1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1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1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1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1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1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1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1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1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1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1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1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1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1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1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1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1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1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1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1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1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1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1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1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1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1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1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1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1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1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1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1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1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1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1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1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1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1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1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1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1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1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1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1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1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1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1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1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1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1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1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1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1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1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1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1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1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1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1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1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1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1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1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1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1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1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1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1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1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1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1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1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1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1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1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1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1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1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1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1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1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1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1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1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1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1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1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1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1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1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1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1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1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1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1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1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1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1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1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1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1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1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1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1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1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1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1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1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1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1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1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1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1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1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1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1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1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1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1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1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1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1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1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1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1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1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1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1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1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1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1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1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1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1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1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1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1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1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1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1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19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19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00"/>
  <sheetViews>
    <sheetView workbookViewId="0">
      <selection activeCell="E10" sqref="E10"/>
    </sheetView>
  </sheetViews>
  <sheetFormatPr baseColWidth="10" defaultColWidth="12.59765625" defaultRowHeight="15" customHeight="1" x14ac:dyDescent="0.25"/>
  <cols>
    <col min="1" max="1" width="10.09765625" customWidth="1"/>
    <col min="2" max="2" width="17.69921875" customWidth="1"/>
    <col min="3" max="11" width="20" customWidth="1"/>
    <col min="12" max="30" width="10.09765625" customWidth="1"/>
  </cols>
  <sheetData>
    <row r="1" spans="1:30" ht="14.4" x14ac:dyDescent="0.3">
      <c r="A1" s="7"/>
      <c r="B1" s="19"/>
      <c r="C1" s="46" t="s">
        <v>46</v>
      </c>
      <c r="D1" s="46" t="s">
        <v>46</v>
      </c>
      <c r="E1" s="46" t="s">
        <v>46</v>
      </c>
      <c r="F1" s="46" t="s">
        <v>46</v>
      </c>
      <c r="G1" s="46" t="s">
        <v>46</v>
      </c>
      <c r="H1" s="46" t="s">
        <v>46</v>
      </c>
      <c r="I1" s="46" t="s">
        <v>46</v>
      </c>
      <c r="J1" s="46" t="s">
        <v>46</v>
      </c>
      <c r="K1" s="46" t="s">
        <v>46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5" customHeight="1" x14ac:dyDescent="0.25">
      <c r="A2" s="14"/>
      <c r="B2" s="33" t="s">
        <v>280</v>
      </c>
      <c r="C2" s="48">
        <v>11</v>
      </c>
      <c r="D2" s="48">
        <v>12</v>
      </c>
      <c r="E2" s="48">
        <v>13</v>
      </c>
      <c r="F2" s="48">
        <v>14</v>
      </c>
      <c r="G2" s="48">
        <v>15</v>
      </c>
      <c r="H2" s="48">
        <v>16</v>
      </c>
      <c r="I2" s="48">
        <v>17</v>
      </c>
      <c r="J2" s="48">
        <v>18</v>
      </c>
      <c r="K2" s="48">
        <v>19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28.8" x14ac:dyDescent="0.25">
      <c r="A3" s="14"/>
      <c r="B3" s="32" t="s">
        <v>281</v>
      </c>
      <c r="C3" s="204" t="s">
        <v>480</v>
      </c>
      <c r="D3" s="202" t="s">
        <v>430</v>
      </c>
      <c r="E3" s="204" t="s">
        <v>481</v>
      </c>
      <c r="F3" s="202" t="s">
        <v>482</v>
      </c>
      <c r="G3" s="202" t="s">
        <v>483</v>
      </c>
      <c r="H3" s="202" t="s">
        <v>484</v>
      </c>
      <c r="I3" s="202" t="s">
        <v>485</v>
      </c>
      <c r="J3" s="204" t="s">
        <v>486</v>
      </c>
      <c r="K3" s="202" t="s">
        <v>445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30" customHeight="1" x14ac:dyDescent="0.25">
      <c r="A4" s="8"/>
      <c r="B4" s="16" t="s">
        <v>79</v>
      </c>
      <c r="C4" s="182" t="s">
        <v>505</v>
      </c>
      <c r="D4" s="182" t="s">
        <v>507</v>
      </c>
      <c r="E4" s="182" t="s">
        <v>509</v>
      </c>
      <c r="F4" s="182" t="s">
        <v>510</v>
      </c>
      <c r="G4" s="182" t="s">
        <v>511</v>
      </c>
      <c r="H4" s="182" t="s">
        <v>512</v>
      </c>
      <c r="I4" s="182" t="s">
        <v>513</v>
      </c>
      <c r="J4" s="182" t="s">
        <v>514</v>
      </c>
      <c r="K4" s="182" t="s">
        <v>544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60" customHeight="1" x14ac:dyDescent="0.25">
      <c r="A5" s="8"/>
      <c r="B5" s="16" t="s">
        <v>339</v>
      </c>
      <c r="C5" s="182" t="s">
        <v>469</v>
      </c>
      <c r="D5" s="138" t="s">
        <v>431</v>
      </c>
      <c r="E5" s="138" t="s">
        <v>525</v>
      </c>
      <c r="F5" s="138" t="s">
        <v>438</v>
      </c>
      <c r="G5" s="223" t="s">
        <v>526</v>
      </c>
      <c r="H5" s="138" t="s">
        <v>472</v>
      </c>
      <c r="I5" s="138" t="s">
        <v>443</v>
      </c>
      <c r="J5" s="138" t="s">
        <v>450</v>
      </c>
      <c r="K5" s="138" t="s">
        <v>444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30" customHeight="1" x14ac:dyDescent="0.25">
      <c r="A6" s="8"/>
      <c r="B6" s="16" t="s">
        <v>340</v>
      </c>
      <c r="C6" s="182" t="s">
        <v>506</v>
      </c>
      <c r="D6" s="138" t="s">
        <v>508</v>
      </c>
      <c r="E6" s="138" t="s">
        <v>508</v>
      </c>
      <c r="F6" s="138" t="s">
        <v>508</v>
      </c>
      <c r="G6" s="138" t="s">
        <v>508</v>
      </c>
      <c r="H6" s="138" t="s">
        <v>508</v>
      </c>
      <c r="I6" s="224"/>
      <c r="J6" s="225"/>
      <c r="K6" s="138" t="s">
        <v>508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30" customHeight="1" x14ac:dyDescent="0.25">
      <c r="A7" s="50"/>
      <c r="B7" s="50" t="s">
        <v>108</v>
      </c>
      <c r="C7" s="50" t="s">
        <v>115</v>
      </c>
      <c r="D7" s="50" t="s">
        <v>529</v>
      </c>
      <c r="E7" s="50" t="s">
        <v>432</v>
      </c>
      <c r="F7" s="50" t="s">
        <v>116</v>
      </c>
      <c r="G7" s="50" t="s">
        <v>439</v>
      </c>
      <c r="H7" s="50" t="s">
        <v>117</v>
      </c>
      <c r="I7" s="50" t="s">
        <v>118</v>
      </c>
      <c r="J7" s="50" t="s">
        <v>119</v>
      </c>
      <c r="K7" s="50" t="s">
        <v>446</v>
      </c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</row>
    <row r="8" spans="1:30" ht="30" customHeight="1" x14ac:dyDescent="0.25">
      <c r="A8" s="53"/>
      <c r="B8" s="53" t="s">
        <v>126</v>
      </c>
      <c r="C8" s="53" t="s">
        <v>130</v>
      </c>
      <c r="D8" s="53" t="s">
        <v>529</v>
      </c>
      <c r="E8" s="53" t="s">
        <v>433</v>
      </c>
      <c r="F8" s="53" t="s">
        <v>131</v>
      </c>
      <c r="G8" s="53" t="s">
        <v>440</v>
      </c>
      <c r="H8" s="53" t="s">
        <v>132</v>
      </c>
      <c r="I8" s="53" t="s">
        <v>133</v>
      </c>
      <c r="J8" s="53" t="s">
        <v>134</v>
      </c>
      <c r="K8" s="53" t="s">
        <v>128</v>
      </c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</row>
    <row r="9" spans="1:30" ht="30" customHeight="1" x14ac:dyDescent="0.25">
      <c r="A9" s="56"/>
      <c r="B9" s="56" t="s">
        <v>141</v>
      </c>
      <c r="C9" s="56" t="s">
        <v>150</v>
      </c>
      <c r="D9" s="226" t="s">
        <v>434</v>
      </c>
      <c r="E9" s="226" t="s">
        <v>549</v>
      </c>
      <c r="F9" s="226" t="s">
        <v>437</v>
      </c>
      <c r="G9" s="226" t="s">
        <v>437</v>
      </c>
      <c r="H9" s="226" t="s">
        <v>151</v>
      </c>
      <c r="I9" s="56" t="s">
        <v>152</v>
      </c>
      <c r="J9" s="56" t="s">
        <v>153</v>
      </c>
      <c r="K9" s="56" t="s">
        <v>473</v>
      </c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</row>
    <row r="10" spans="1:30" ht="30" customHeight="1" x14ac:dyDescent="0.25">
      <c r="A10" s="59"/>
      <c r="B10" s="59" t="s">
        <v>161</v>
      </c>
      <c r="C10" s="59" t="s">
        <v>164</v>
      </c>
      <c r="D10" s="59" t="s">
        <v>435</v>
      </c>
      <c r="E10" s="59" t="s">
        <v>435</v>
      </c>
      <c r="F10" s="59" t="s">
        <v>165</v>
      </c>
      <c r="G10" s="59" t="s">
        <v>441</v>
      </c>
      <c r="H10" s="59" t="s">
        <v>166</v>
      </c>
      <c r="I10" s="59" t="s">
        <v>167</v>
      </c>
      <c r="J10" s="59" t="s">
        <v>168</v>
      </c>
      <c r="K10" s="59" t="s">
        <v>128</v>
      </c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</row>
    <row r="11" spans="1:30" ht="30" customHeight="1" x14ac:dyDescent="0.25">
      <c r="A11" s="61"/>
      <c r="B11" s="61" t="s">
        <v>174</v>
      </c>
      <c r="C11" s="61" t="s">
        <v>536</v>
      </c>
      <c r="D11" s="61" t="s">
        <v>436</v>
      </c>
      <c r="E11" s="61" t="s">
        <v>436</v>
      </c>
      <c r="F11" s="61" t="s">
        <v>185</v>
      </c>
      <c r="G11" s="61" t="s">
        <v>442</v>
      </c>
      <c r="H11" s="61" t="s">
        <v>186</v>
      </c>
      <c r="I11" s="61" t="s">
        <v>187</v>
      </c>
      <c r="J11" s="61" t="s">
        <v>188</v>
      </c>
      <c r="K11" s="61" t="s">
        <v>189</v>
      </c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</row>
    <row r="12" spans="1:30" ht="14.4" x14ac:dyDescent="0.25">
      <c r="A12" s="14"/>
      <c r="B12" s="32"/>
      <c r="C12" s="48" t="s">
        <v>55</v>
      </c>
      <c r="D12" s="48" t="s">
        <v>56</v>
      </c>
      <c r="E12" s="48" t="s">
        <v>57</v>
      </c>
      <c r="F12" s="48" t="s">
        <v>58</v>
      </c>
      <c r="G12" s="48" t="s">
        <v>59</v>
      </c>
      <c r="H12" s="48" t="s">
        <v>60</v>
      </c>
      <c r="I12" s="48" t="s">
        <v>61</v>
      </c>
      <c r="J12" s="48" t="s">
        <v>62</v>
      </c>
      <c r="K12" s="48" t="s">
        <v>63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ht="14.4" x14ac:dyDescent="0.3">
      <c r="A13" s="7"/>
      <c r="B13" s="19" t="s">
        <v>283</v>
      </c>
      <c r="C13" s="7" t="e">
        <f>'Grille de métriques'!M12</f>
        <v>#NUM!</v>
      </c>
      <c r="D13" s="7" t="e">
        <f>'Grille de métriques'!N12</f>
        <v>#NUM!</v>
      </c>
      <c r="E13" s="7" t="e">
        <f>'Grille de métriques'!O12</f>
        <v>#NUM!</v>
      </c>
      <c r="F13" s="7" t="e">
        <f>'Grille de métriques'!P12</f>
        <v>#NUM!</v>
      </c>
      <c r="G13" s="7" t="e">
        <f>'Grille de métriques'!Q12</f>
        <v>#NUM!</v>
      </c>
      <c r="H13" s="7" t="e">
        <f>'Grille de métriques'!R12</f>
        <v>#NUM!</v>
      </c>
      <c r="I13" s="7" t="e">
        <f>'Grille de métriques'!S12</f>
        <v>#NUM!</v>
      </c>
      <c r="J13" s="7" t="e">
        <f>'Grille de métriques'!T12</f>
        <v>#NUM!</v>
      </c>
      <c r="K13" s="7" t="e">
        <f>'Grille de métriques'!U12</f>
        <v>#NUM!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4.4" x14ac:dyDescent="0.3">
      <c r="A14" s="7"/>
      <c r="B14" s="19" t="s">
        <v>285</v>
      </c>
      <c r="C14" s="7" t="e">
        <f>'Grille de métriques'!M20</f>
        <v>#NUM!</v>
      </c>
      <c r="D14" s="7" t="e">
        <f>'Grille de métriques'!N20</f>
        <v>#NUM!</v>
      </c>
      <c r="E14" s="7" t="e">
        <f>'Grille de métriques'!O20</f>
        <v>#NUM!</v>
      </c>
      <c r="F14" s="7" t="e">
        <f>'Grille de métriques'!P20</f>
        <v>#NUM!</v>
      </c>
      <c r="G14" s="7" t="e">
        <f>'Grille de métriques'!Q20</f>
        <v>#NUM!</v>
      </c>
      <c r="H14" s="7" t="e">
        <f>'Grille de métriques'!R20</f>
        <v>#NUM!</v>
      </c>
      <c r="I14" s="7" t="e">
        <f>'Grille de métriques'!S20</f>
        <v>#NUM!</v>
      </c>
      <c r="J14" s="7" t="e">
        <f>'Grille de métriques'!T20</f>
        <v>#NUM!</v>
      </c>
      <c r="K14" s="7" t="e">
        <f>'Grille de métriques'!U20</f>
        <v>#NUM!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4.4" x14ac:dyDescent="0.3">
      <c r="A15" s="7"/>
      <c r="B15" s="19" t="s">
        <v>286</v>
      </c>
      <c r="C15" s="7" t="e">
        <f>'Grille de métriques'!M28</f>
        <v>#NUM!</v>
      </c>
      <c r="D15" s="7" t="e">
        <f>'Grille de métriques'!N28</f>
        <v>#NUM!</v>
      </c>
      <c r="E15" s="7" t="e">
        <f>'Grille de métriques'!O28</f>
        <v>#NUM!</v>
      </c>
      <c r="F15" s="7" t="e">
        <f>'Grille de métriques'!P28</f>
        <v>#NUM!</v>
      </c>
      <c r="G15" s="7" t="e">
        <f>'Grille de métriques'!Q28</f>
        <v>#NUM!</v>
      </c>
      <c r="H15" s="7" t="e">
        <f>'Grille de métriques'!R28</f>
        <v>#NUM!</v>
      </c>
      <c r="I15" s="7" t="e">
        <f>'Grille de métriques'!S28</f>
        <v>#NUM!</v>
      </c>
      <c r="J15" s="7" t="e">
        <f>'Grille de métriques'!T28</f>
        <v>#NUM!</v>
      </c>
      <c r="K15" s="7" t="e">
        <f>'Grille de métriques'!U28</f>
        <v>#NUM!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4.4" x14ac:dyDescent="0.3">
      <c r="A16" s="7"/>
      <c r="B16" s="19" t="s">
        <v>288</v>
      </c>
      <c r="C16" s="7" t="e">
        <f>'Grille de métriques'!M36</f>
        <v>#NUM!</v>
      </c>
      <c r="D16" s="7" t="e">
        <f>'Grille de métriques'!N36</f>
        <v>#NUM!</v>
      </c>
      <c r="E16" s="7" t="e">
        <f>'Grille de métriques'!O36</f>
        <v>#NUM!</v>
      </c>
      <c r="F16" s="7" t="e">
        <f>'Grille de métriques'!P36</f>
        <v>#NUM!</v>
      </c>
      <c r="G16" s="7" t="e">
        <f>'Grille de métriques'!Q36</f>
        <v>#NUM!</v>
      </c>
      <c r="H16" s="7" t="e">
        <f>'Grille de métriques'!R36</f>
        <v>#NUM!</v>
      </c>
      <c r="I16" s="7" t="e">
        <f>'Grille de métriques'!S36</f>
        <v>#NUM!</v>
      </c>
      <c r="J16" s="7" t="e">
        <f>'Grille de métriques'!T36</f>
        <v>#NUM!</v>
      </c>
      <c r="K16" s="7" t="e">
        <f>'Grille de métriques'!U36</f>
        <v>#NUM!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4.4" x14ac:dyDescent="0.3">
      <c r="A17" s="7"/>
      <c r="B17" s="19" t="s">
        <v>289</v>
      </c>
      <c r="C17" s="7" t="e">
        <f>'Grille de métriques'!M44</f>
        <v>#NUM!</v>
      </c>
      <c r="D17" s="7" t="e">
        <f>'Grille de métriques'!N44</f>
        <v>#NUM!</v>
      </c>
      <c r="E17" s="7" t="e">
        <f>'Grille de métriques'!O44</f>
        <v>#NUM!</v>
      </c>
      <c r="F17" s="7" t="e">
        <f>'Grille de métriques'!P44</f>
        <v>#NUM!</v>
      </c>
      <c r="G17" s="7" t="e">
        <f>'Grille de métriques'!Q44</f>
        <v>#NUM!</v>
      </c>
      <c r="H17" s="7" t="e">
        <f>'Grille de métriques'!R44</f>
        <v>#NUM!</v>
      </c>
      <c r="I17" s="7" t="e">
        <f>'Grille de métriques'!S44</f>
        <v>#NUM!</v>
      </c>
      <c r="J17" s="7" t="e">
        <f>'Grille de métriques'!T44</f>
        <v>#NUM!</v>
      </c>
      <c r="K17" s="7" t="e">
        <f>'Grille de métriques'!U44</f>
        <v>#NUM!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4.4" x14ac:dyDescent="0.3">
      <c r="A18" s="7"/>
      <c r="B18" s="19" t="s">
        <v>329</v>
      </c>
      <c r="C18" s="7">
        <f>'Grille de métriques'!M87</f>
        <v>0</v>
      </c>
      <c r="D18" s="7">
        <f>'Grille de métriques'!N87</f>
        <v>0</v>
      </c>
      <c r="E18" s="7">
        <f>'Grille de métriques'!O87</f>
        <v>0</v>
      </c>
      <c r="F18" s="7">
        <f>'Grille de métriques'!P87</f>
        <v>0</v>
      </c>
      <c r="G18" s="7">
        <f>'Grille de métriques'!Q87</f>
        <v>0</v>
      </c>
      <c r="H18" s="7">
        <f>'Grille de métriques'!R87</f>
        <v>0</v>
      </c>
      <c r="I18" s="7">
        <f>'Grille de métriques'!S87</f>
        <v>0</v>
      </c>
      <c r="J18" s="7">
        <f>'Grille de métriques'!T87</f>
        <v>0</v>
      </c>
      <c r="K18" s="7">
        <f>'Grille de métriques'!U87</f>
        <v>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4.4" x14ac:dyDescent="0.25">
      <c r="A19" s="14"/>
      <c r="B19" s="32"/>
      <c r="C19" s="48" t="s">
        <v>55</v>
      </c>
      <c r="D19" s="48" t="s">
        <v>56</v>
      </c>
      <c r="E19" s="48" t="s">
        <v>57</v>
      </c>
      <c r="F19" s="48" t="s">
        <v>58</v>
      </c>
      <c r="G19" s="48" t="s">
        <v>59</v>
      </c>
      <c r="H19" s="48" t="s">
        <v>60</v>
      </c>
      <c r="I19" s="48" t="s">
        <v>61</v>
      </c>
      <c r="J19" s="48" t="s">
        <v>62</v>
      </c>
      <c r="K19" s="48" t="s">
        <v>63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ht="14.4" x14ac:dyDescent="0.3">
      <c r="A20" s="7"/>
      <c r="B20" s="21" t="s">
        <v>25</v>
      </c>
      <c r="C20" s="7">
        <f>Formulaire!L13</f>
        <v>0</v>
      </c>
      <c r="D20" s="7">
        <f>Formulaire!M13</f>
        <v>0</v>
      </c>
      <c r="E20" s="7">
        <f>Formulaire!N13</f>
        <v>0</v>
      </c>
      <c r="F20" s="7">
        <f>Formulaire!O13</f>
        <v>0</v>
      </c>
      <c r="G20" s="7">
        <f>Formulaire!P13</f>
        <v>0</v>
      </c>
      <c r="H20" s="7">
        <f>Formulaire!Q13</f>
        <v>0</v>
      </c>
      <c r="I20" s="7">
        <f>Formulaire!R13</f>
        <v>0</v>
      </c>
      <c r="J20" s="7">
        <f>Formulaire!S13</f>
        <v>0</v>
      </c>
      <c r="K20" s="7">
        <f>Formulaire!T13</f>
        <v>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 x14ac:dyDescent="0.3">
      <c r="A21" s="7"/>
      <c r="B21" s="21" t="s">
        <v>35</v>
      </c>
      <c r="C21" s="7">
        <f>Formulaire!L15</f>
        <v>0</v>
      </c>
      <c r="D21" s="7">
        <f>Formulaire!M15</f>
        <v>0</v>
      </c>
      <c r="E21" s="7">
        <f>Formulaire!N15</f>
        <v>0</v>
      </c>
      <c r="F21" s="7">
        <f>Formulaire!O15</f>
        <v>0</v>
      </c>
      <c r="G21" s="7">
        <f>Formulaire!P15</f>
        <v>0</v>
      </c>
      <c r="H21" s="7">
        <f>Formulaire!Q15</f>
        <v>0</v>
      </c>
      <c r="I21" s="7">
        <f>Formulaire!R15</f>
        <v>0</v>
      </c>
      <c r="J21" s="7">
        <f>Formulaire!S15</f>
        <v>0</v>
      </c>
      <c r="K21" s="7">
        <f>Formulaire!T15</f>
        <v>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 x14ac:dyDescent="0.3">
      <c r="A22" s="7"/>
      <c r="B22" s="21" t="s">
        <v>291</v>
      </c>
      <c r="C22" s="7">
        <f>Formulaire!L17</f>
        <v>0</v>
      </c>
      <c r="D22" s="7">
        <f>Formulaire!M17</f>
        <v>0</v>
      </c>
      <c r="E22" s="7">
        <f>Formulaire!N17</f>
        <v>0</v>
      </c>
      <c r="F22" s="7">
        <f>Formulaire!O17</f>
        <v>0</v>
      </c>
      <c r="G22" s="7">
        <f>Formulaire!P17</f>
        <v>0</v>
      </c>
      <c r="H22" s="7">
        <f>Formulaire!Q17</f>
        <v>0</v>
      </c>
      <c r="I22" s="7">
        <f>Formulaire!R17</f>
        <v>0</v>
      </c>
      <c r="J22" s="7">
        <f>Formulaire!S17</f>
        <v>0</v>
      </c>
      <c r="K22" s="7">
        <f>Formulaire!T17</f>
        <v>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 x14ac:dyDescent="0.3">
      <c r="A23" s="7"/>
      <c r="B23" s="21" t="s">
        <v>292</v>
      </c>
      <c r="C23" s="7">
        <f>Formulaire!L19</f>
        <v>0</v>
      </c>
      <c r="D23" s="7">
        <f>Formulaire!M19</f>
        <v>0</v>
      </c>
      <c r="E23" s="7">
        <f>Formulaire!N19</f>
        <v>0</v>
      </c>
      <c r="F23" s="7">
        <f>Formulaire!O19</f>
        <v>0</v>
      </c>
      <c r="G23" s="7">
        <f>Formulaire!P19</f>
        <v>0</v>
      </c>
      <c r="H23" s="7">
        <f>Formulaire!Q19</f>
        <v>0</v>
      </c>
      <c r="I23" s="7">
        <f>Formulaire!R19</f>
        <v>0</v>
      </c>
      <c r="J23" s="7">
        <f>Formulaire!S19</f>
        <v>0</v>
      </c>
      <c r="K23" s="7">
        <f>Formulaire!T19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 x14ac:dyDescent="0.3">
      <c r="A24" s="7"/>
      <c r="B24" s="21" t="s">
        <v>293</v>
      </c>
      <c r="C24" s="7">
        <f>Formulaire!L21</f>
        <v>0</v>
      </c>
      <c r="D24" s="7">
        <f>Formulaire!M21</f>
        <v>0</v>
      </c>
      <c r="E24" s="7">
        <f>Formulaire!N21</f>
        <v>0</v>
      </c>
      <c r="F24" s="7">
        <f>Formulaire!O21</f>
        <v>0</v>
      </c>
      <c r="G24" s="7">
        <f>Formulaire!P21</f>
        <v>0</v>
      </c>
      <c r="H24" s="7" t="str">
        <f>Formulaire!Q21</f>
        <v xml:space="preserve"> </v>
      </c>
      <c r="I24" s="7">
        <f>Formulaire!R21</f>
        <v>0</v>
      </c>
      <c r="J24" s="7">
        <f>Formulaire!S21</f>
        <v>0</v>
      </c>
      <c r="K24" s="7">
        <f>Formulaire!T21</f>
        <v>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 x14ac:dyDescent="0.3">
      <c r="A25" s="7"/>
      <c r="B25" s="21" t="s">
        <v>294</v>
      </c>
      <c r="C25" s="7">
        <f>Formulaire!L23</f>
        <v>0</v>
      </c>
      <c r="D25" s="7">
        <f>Formulaire!M23</f>
        <v>0</v>
      </c>
      <c r="E25" s="7">
        <f>Formulaire!N23</f>
        <v>0</v>
      </c>
      <c r="F25" s="7">
        <f>Formulaire!O23</f>
        <v>0</v>
      </c>
      <c r="G25" s="7">
        <f>Formulaire!P23</f>
        <v>0</v>
      </c>
      <c r="H25" s="7">
        <f>Formulaire!Q23</f>
        <v>0</v>
      </c>
      <c r="I25" s="7">
        <f>Formulaire!R23</f>
        <v>0</v>
      </c>
      <c r="J25" s="7">
        <f>Formulaire!S23</f>
        <v>0</v>
      </c>
      <c r="K25" s="7">
        <f>Formulaire!T23</f>
        <v>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 x14ac:dyDescent="0.3">
      <c r="A26" s="7"/>
      <c r="B26" s="21" t="s">
        <v>295</v>
      </c>
      <c r="C26" s="7">
        <f>Formulaire!L25</f>
        <v>0</v>
      </c>
      <c r="D26" s="7">
        <f>Formulaire!M25</f>
        <v>0</v>
      </c>
      <c r="E26" s="7">
        <f>Formulaire!N25</f>
        <v>0</v>
      </c>
      <c r="F26" s="7">
        <f>Formulaire!O25</f>
        <v>0</v>
      </c>
      <c r="G26" s="7">
        <f>Formulaire!P25</f>
        <v>0</v>
      </c>
      <c r="H26" s="7">
        <f>Formulaire!Q25</f>
        <v>0</v>
      </c>
      <c r="I26" s="7">
        <f>Formulaire!R25</f>
        <v>0</v>
      </c>
      <c r="J26" s="7">
        <f>Formulaire!S25</f>
        <v>0</v>
      </c>
      <c r="K26" s="7">
        <f>Formulaire!T25</f>
        <v>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 x14ac:dyDescent="0.3">
      <c r="A27" s="7"/>
      <c r="B27" s="21" t="s">
        <v>296</v>
      </c>
      <c r="C27" s="7">
        <f>Formulaire!L27</f>
        <v>0</v>
      </c>
      <c r="D27" s="7">
        <f>Formulaire!M27</f>
        <v>0</v>
      </c>
      <c r="E27" s="7">
        <f>Formulaire!N27</f>
        <v>0</v>
      </c>
      <c r="F27" s="7">
        <f>Formulaire!O27</f>
        <v>0</v>
      </c>
      <c r="G27" s="7">
        <f>Formulaire!P27</f>
        <v>0</v>
      </c>
      <c r="H27" s="7">
        <f>Formulaire!Q27</f>
        <v>0</v>
      </c>
      <c r="I27" s="7">
        <f>Formulaire!R27</f>
        <v>0</v>
      </c>
      <c r="J27" s="7">
        <f>Formulaire!S27</f>
        <v>0</v>
      </c>
      <c r="K27" s="7">
        <f>Formulaire!T27</f>
        <v>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 x14ac:dyDescent="0.3">
      <c r="A28" s="7"/>
      <c r="B28" s="21" t="s">
        <v>297</v>
      </c>
      <c r="C28" s="7">
        <f>Formulaire!L29</f>
        <v>0</v>
      </c>
      <c r="D28" s="7">
        <f>Formulaire!M29</f>
        <v>0</v>
      </c>
      <c r="E28" s="7">
        <f>Formulaire!N29</f>
        <v>0</v>
      </c>
      <c r="F28" s="7">
        <f>Formulaire!O29</f>
        <v>0</v>
      </c>
      <c r="G28" s="7">
        <f>Formulaire!P29</f>
        <v>0</v>
      </c>
      <c r="H28" s="7">
        <f>Formulaire!Q29</f>
        <v>0</v>
      </c>
      <c r="I28" s="7">
        <f>Formulaire!R29</f>
        <v>0</v>
      </c>
      <c r="J28" s="7">
        <f>Formulaire!S29</f>
        <v>0</v>
      </c>
      <c r="K28" s="7">
        <f>Formulaire!T29</f>
        <v>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 x14ac:dyDescent="0.3">
      <c r="A29" s="7"/>
      <c r="B29" s="21" t="s">
        <v>298</v>
      </c>
      <c r="C29" s="7">
        <f>Formulaire!L31</f>
        <v>0</v>
      </c>
      <c r="D29" s="7">
        <f>Formulaire!M31</f>
        <v>0</v>
      </c>
      <c r="E29" s="7">
        <f>Formulaire!N31</f>
        <v>0</v>
      </c>
      <c r="F29" s="7">
        <f>Formulaire!O31</f>
        <v>0</v>
      </c>
      <c r="G29" s="7">
        <f>Formulaire!P31</f>
        <v>0</v>
      </c>
      <c r="H29" s="7">
        <f>Formulaire!Q31</f>
        <v>0</v>
      </c>
      <c r="I29" s="7">
        <f>Formulaire!R31</f>
        <v>0</v>
      </c>
      <c r="J29" s="7">
        <f>Formulaire!S31</f>
        <v>0</v>
      </c>
      <c r="K29" s="7">
        <f>Formulaire!T31</f>
        <v>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 x14ac:dyDescent="0.3">
      <c r="A30" s="7"/>
      <c r="B30" s="21" t="s">
        <v>299</v>
      </c>
      <c r="C30" s="7">
        <f>Formulaire!L33</f>
        <v>0</v>
      </c>
      <c r="D30" s="7">
        <f>Formulaire!M33</f>
        <v>0</v>
      </c>
      <c r="E30" s="7">
        <f>Formulaire!N33</f>
        <v>0</v>
      </c>
      <c r="F30" s="7">
        <f>Formulaire!O33</f>
        <v>0</v>
      </c>
      <c r="G30" s="7">
        <f>Formulaire!P33</f>
        <v>0</v>
      </c>
      <c r="H30" s="7">
        <f>Formulaire!Q33</f>
        <v>0</v>
      </c>
      <c r="I30" s="7">
        <f>Formulaire!R33</f>
        <v>0</v>
      </c>
      <c r="J30" s="7">
        <f>Formulaire!S33</f>
        <v>0</v>
      </c>
      <c r="K30" s="7">
        <f>Formulaire!T33</f>
        <v>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 x14ac:dyDescent="0.3">
      <c r="A31" s="7"/>
      <c r="B31" s="21" t="s">
        <v>300</v>
      </c>
      <c r="C31" s="7">
        <f>Formulaire!L35</f>
        <v>0</v>
      </c>
      <c r="D31" s="7">
        <f>Formulaire!M35</f>
        <v>0</v>
      </c>
      <c r="E31" s="7">
        <f>Formulaire!N35</f>
        <v>0</v>
      </c>
      <c r="F31" s="7">
        <f>Formulaire!O35</f>
        <v>0</v>
      </c>
      <c r="G31" s="7">
        <f>Formulaire!P35</f>
        <v>0</v>
      </c>
      <c r="H31" s="7">
        <f>Formulaire!Q35</f>
        <v>0</v>
      </c>
      <c r="I31" s="7">
        <f>Formulaire!R35</f>
        <v>0</v>
      </c>
      <c r="J31" s="7">
        <f>Formulaire!S35</f>
        <v>0</v>
      </c>
      <c r="K31" s="7">
        <f>Formulaire!T35</f>
        <v>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 x14ac:dyDescent="0.3">
      <c r="A32" s="7"/>
      <c r="B32" s="21" t="s">
        <v>301</v>
      </c>
      <c r="C32" s="7">
        <f>Formulaire!L37</f>
        <v>0</v>
      </c>
      <c r="D32" s="7">
        <f>Formulaire!M37</f>
        <v>0</v>
      </c>
      <c r="E32" s="7">
        <f>Formulaire!N37</f>
        <v>0</v>
      </c>
      <c r="F32" s="7">
        <f>Formulaire!O37</f>
        <v>0</v>
      </c>
      <c r="G32" s="7">
        <f>Formulaire!P37</f>
        <v>0</v>
      </c>
      <c r="H32" s="7">
        <f>Formulaire!Q37</f>
        <v>0</v>
      </c>
      <c r="I32" s="7">
        <f>Formulaire!R37</f>
        <v>0</v>
      </c>
      <c r="J32" s="7">
        <f>Formulaire!S37</f>
        <v>0</v>
      </c>
      <c r="K32" s="7">
        <f>Formulaire!T37</f>
        <v>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 x14ac:dyDescent="0.3">
      <c r="A33" s="7"/>
      <c r="B33" s="21" t="s">
        <v>302</v>
      </c>
      <c r="C33" s="7">
        <f>Formulaire!L39</f>
        <v>0</v>
      </c>
      <c r="D33" s="7">
        <f>Formulaire!M39</f>
        <v>0</v>
      </c>
      <c r="E33" s="7">
        <f>Formulaire!N39</f>
        <v>0</v>
      </c>
      <c r="F33" s="7">
        <f>Formulaire!O39</f>
        <v>0</v>
      </c>
      <c r="G33" s="7">
        <f>Formulaire!P39</f>
        <v>0</v>
      </c>
      <c r="H33" s="7">
        <f>Formulaire!Q39</f>
        <v>0</v>
      </c>
      <c r="I33" s="7">
        <f>Formulaire!R39</f>
        <v>0</v>
      </c>
      <c r="J33" s="7">
        <f>Formulaire!S39</f>
        <v>0</v>
      </c>
      <c r="K33" s="7">
        <f>Formulaire!T39</f>
        <v>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 x14ac:dyDescent="0.3">
      <c r="A34" s="7"/>
      <c r="B34" s="21" t="s">
        <v>303</v>
      </c>
      <c r="C34" s="7">
        <f>Formulaire!L41</f>
        <v>0</v>
      </c>
      <c r="D34" s="7">
        <f>Formulaire!M41</f>
        <v>0</v>
      </c>
      <c r="E34" s="7">
        <f>Formulaire!N41</f>
        <v>0</v>
      </c>
      <c r="F34" s="7">
        <f>Formulaire!O41</f>
        <v>0</v>
      </c>
      <c r="G34" s="7">
        <f>Formulaire!P41</f>
        <v>0</v>
      </c>
      <c r="H34" s="7">
        <f>Formulaire!Q41</f>
        <v>0</v>
      </c>
      <c r="I34" s="7">
        <f>Formulaire!R41</f>
        <v>0</v>
      </c>
      <c r="J34" s="7">
        <f>Formulaire!S41</f>
        <v>0</v>
      </c>
      <c r="K34" s="7">
        <f>Formulaire!T41</f>
        <v>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 x14ac:dyDescent="0.3">
      <c r="A35" s="7"/>
      <c r="B35" s="21" t="s">
        <v>304</v>
      </c>
      <c r="C35" s="7">
        <f>Formulaire!L43</f>
        <v>0</v>
      </c>
      <c r="D35" s="7">
        <f>Formulaire!M43</f>
        <v>0</v>
      </c>
      <c r="E35" s="7">
        <f>Formulaire!N43</f>
        <v>0</v>
      </c>
      <c r="F35" s="7">
        <f>Formulaire!O43</f>
        <v>0</v>
      </c>
      <c r="G35" s="7">
        <f>Formulaire!P43</f>
        <v>0</v>
      </c>
      <c r="H35" s="7">
        <f>Formulaire!Q43</f>
        <v>0</v>
      </c>
      <c r="I35" s="7">
        <f>Formulaire!R43</f>
        <v>0</v>
      </c>
      <c r="J35" s="7">
        <f>Formulaire!S43</f>
        <v>0</v>
      </c>
      <c r="K35" s="7">
        <f>Formulaire!T43</f>
        <v>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 x14ac:dyDescent="0.3">
      <c r="A36" s="7"/>
      <c r="B36" s="21" t="s">
        <v>305</v>
      </c>
      <c r="C36" s="7">
        <f>Formulaire!L45</f>
        <v>0</v>
      </c>
      <c r="D36" s="7">
        <f>Formulaire!M45</f>
        <v>0</v>
      </c>
      <c r="E36" s="7">
        <f>Formulaire!N45</f>
        <v>0</v>
      </c>
      <c r="F36" s="7">
        <f>Formulaire!O45</f>
        <v>0</v>
      </c>
      <c r="G36" s="7">
        <f>Formulaire!P45</f>
        <v>0</v>
      </c>
      <c r="H36" s="7">
        <f>Formulaire!Q45</f>
        <v>0</v>
      </c>
      <c r="I36" s="7">
        <f>Formulaire!R45</f>
        <v>0</v>
      </c>
      <c r="J36" s="7">
        <f>Formulaire!S45</f>
        <v>0</v>
      </c>
      <c r="K36" s="7">
        <f>Formulaire!T45</f>
        <v>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 x14ac:dyDescent="0.3">
      <c r="A37" s="7"/>
      <c r="B37" s="21" t="s">
        <v>306</v>
      </c>
      <c r="C37" s="7">
        <f>Formulaire!L47</f>
        <v>0</v>
      </c>
      <c r="D37" s="7">
        <f>Formulaire!M47</f>
        <v>0</v>
      </c>
      <c r="E37" s="7">
        <f>Formulaire!N47</f>
        <v>0</v>
      </c>
      <c r="F37" s="7">
        <f>Formulaire!O47</f>
        <v>0</v>
      </c>
      <c r="G37" s="7">
        <f>Formulaire!P47</f>
        <v>0</v>
      </c>
      <c r="H37" s="7">
        <f>Formulaire!Q47</f>
        <v>0</v>
      </c>
      <c r="I37" s="7">
        <f>Formulaire!R47</f>
        <v>0</v>
      </c>
      <c r="J37" s="7">
        <f>Formulaire!S47</f>
        <v>0</v>
      </c>
      <c r="K37" s="7">
        <f>Formulaire!T47</f>
        <v>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 x14ac:dyDescent="0.3">
      <c r="A38" s="7"/>
      <c r="B38" s="21" t="s">
        <v>307</v>
      </c>
      <c r="C38" s="7">
        <f>Formulaire!L49</f>
        <v>0</v>
      </c>
      <c r="D38" s="7">
        <f>Formulaire!M49</f>
        <v>0</v>
      </c>
      <c r="E38" s="7">
        <f>Formulaire!N49</f>
        <v>0</v>
      </c>
      <c r="F38" s="7">
        <f>Formulaire!O49</f>
        <v>0</v>
      </c>
      <c r="G38" s="7">
        <f>Formulaire!P49</f>
        <v>0</v>
      </c>
      <c r="H38" s="7">
        <f>Formulaire!Q49</f>
        <v>0</v>
      </c>
      <c r="I38" s="7">
        <f>Formulaire!R49</f>
        <v>0</v>
      </c>
      <c r="J38" s="7">
        <f>Formulaire!S49</f>
        <v>0</v>
      </c>
      <c r="K38" s="7">
        <f>Formulaire!T49</f>
        <v>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 x14ac:dyDescent="0.3">
      <c r="A39" s="7"/>
      <c r="B39" s="21" t="s">
        <v>308</v>
      </c>
      <c r="C39" s="7">
        <f>Formulaire!L51</f>
        <v>0</v>
      </c>
      <c r="D39" s="7">
        <f>Formulaire!M51</f>
        <v>0</v>
      </c>
      <c r="E39" s="7">
        <f>Formulaire!N51</f>
        <v>0</v>
      </c>
      <c r="F39" s="7">
        <f>Formulaire!O51</f>
        <v>0</v>
      </c>
      <c r="G39" s="7">
        <f>Formulaire!P51</f>
        <v>0</v>
      </c>
      <c r="H39" s="7">
        <f>Formulaire!Q51</f>
        <v>0</v>
      </c>
      <c r="I39" s="7">
        <f>Formulaire!R51</f>
        <v>0</v>
      </c>
      <c r="J39" s="7">
        <f>Formulaire!S51</f>
        <v>0</v>
      </c>
      <c r="K39" s="7">
        <f>Formulaire!T51</f>
        <v>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 x14ac:dyDescent="0.3">
      <c r="A40" s="7"/>
      <c r="B40" s="21" t="s">
        <v>309</v>
      </c>
      <c r="C40" s="7">
        <f>Formulaire!L53</f>
        <v>0</v>
      </c>
      <c r="D40" s="7">
        <f>Formulaire!M53</f>
        <v>0</v>
      </c>
      <c r="E40" s="7">
        <f>Formulaire!N53</f>
        <v>0</v>
      </c>
      <c r="F40" s="7">
        <f>Formulaire!O53</f>
        <v>0</v>
      </c>
      <c r="G40" s="7">
        <f>Formulaire!P53</f>
        <v>0</v>
      </c>
      <c r="H40" s="7">
        <f>Formulaire!Q53</f>
        <v>0</v>
      </c>
      <c r="I40" s="7">
        <f>Formulaire!R53</f>
        <v>0</v>
      </c>
      <c r="J40" s="7">
        <f>Formulaire!S53</f>
        <v>0</v>
      </c>
      <c r="K40" s="7">
        <f>Formulaire!T53</f>
        <v>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 x14ac:dyDescent="0.3">
      <c r="A41" s="7"/>
      <c r="B41" s="21" t="s">
        <v>310</v>
      </c>
      <c r="C41" s="7">
        <f>Formulaire!L55</f>
        <v>0</v>
      </c>
      <c r="D41" s="7">
        <f>Formulaire!M55</f>
        <v>0</v>
      </c>
      <c r="E41" s="7">
        <f>Formulaire!N55</f>
        <v>0</v>
      </c>
      <c r="F41" s="7">
        <f>Formulaire!O55</f>
        <v>0</v>
      </c>
      <c r="G41" s="7">
        <f>Formulaire!P55</f>
        <v>0</v>
      </c>
      <c r="H41" s="7">
        <f>Formulaire!Q55</f>
        <v>0</v>
      </c>
      <c r="I41" s="7">
        <f>Formulaire!R55</f>
        <v>0</v>
      </c>
      <c r="J41" s="7">
        <f>Formulaire!S55</f>
        <v>0</v>
      </c>
      <c r="K41" s="7">
        <f>Formulaire!T55</f>
        <v>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 x14ac:dyDescent="0.3">
      <c r="A42" s="7"/>
      <c r="B42" s="21" t="s">
        <v>311</v>
      </c>
      <c r="C42" s="7">
        <f>Formulaire!L57</f>
        <v>0</v>
      </c>
      <c r="D42" s="7">
        <f>Formulaire!M57</f>
        <v>0</v>
      </c>
      <c r="E42" s="7">
        <f>Formulaire!N57</f>
        <v>0</v>
      </c>
      <c r="F42" s="7">
        <f>Formulaire!O57</f>
        <v>0</v>
      </c>
      <c r="G42" s="7">
        <f>Formulaire!P57</f>
        <v>0</v>
      </c>
      <c r="H42" s="7">
        <f>Formulaire!Q57</f>
        <v>0</v>
      </c>
      <c r="I42" s="7">
        <f>Formulaire!R57</f>
        <v>0</v>
      </c>
      <c r="J42" s="7">
        <f>Formulaire!S57</f>
        <v>0</v>
      </c>
      <c r="K42" s="7">
        <f>Formulaire!T57</f>
        <v>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 x14ac:dyDescent="0.3">
      <c r="A43" s="7"/>
      <c r="B43" s="21" t="s">
        <v>312</v>
      </c>
      <c r="C43" s="7">
        <f>Formulaire!L59</f>
        <v>0</v>
      </c>
      <c r="D43" s="7">
        <f>Formulaire!M59</f>
        <v>0</v>
      </c>
      <c r="E43" s="7">
        <f>Formulaire!N59</f>
        <v>0</v>
      </c>
      <c r="F43" s="7">
        <f>Formulaire!O59</f>
        <v>0</v>
      </c>
      <c r="G43" s="7">
        <f>Formulaire!P59</f>
        <v>0</v>
      </c>
      <c r="H43" s="7">
        <f>Formulaire!Q59</f>
        <v>0</v>
      </c>
      <c r="I43" s="7">
        <f>Formulaire!R59</f>
        <v>0</v>
      </c>
      <c r="J43" s="7">
        <f>Formulaire!S59</f>
        <v>0</v>
      </c>
      <c r="K43" s="7">
        <f>Formulaire!T59</f>
        <v>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 x14ac:dyDescent="0.3">
      <c r="A44" s="7"/>
      <c r="B44" s="21" t="s">
        <v>313</v>
      </c>
      <c r="C44" s="7">
        <f>Formulaire!L61</f>
        <v>0</v>
      </c>
      <c r="D44" s="7">
        <f>Formulaire!M61</f>
        <v>0</v>
      </c>
      <c r="E44" s="7">
        <f>Formulaire!N61</f>
        <v>0</v>
      </c>
      <c r="F44" s="7">
        <f>Formulaire!O61</f>
        <v>0</v>
      </c>
      <c r="G44" s="7">
        <f>Formulaire!P61</f>
        <v>0</v>
      </c>
      <c r="H44" s="7">
        <f>Formulaire!Q61</f>
        <v>0</v>
      </c>
      <c r="I44" s="7">
        <f>Formulaire!R61</f>
        <v>0</v>
      </c>
      <c r="J44" s="7">
        <f>Formulaire!S61</f>
        <v>0</v>
      </c>
      <c r="K44" s="7">
        <f>Formulaire!T61</f>
        <v>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 x14ac:dyDescent="0.3">
      <c r="A45" s="7"/>
      <c r="B45" s="21" t="s">
        <v>314</v>
      </c>
      <c r="C45" s="7">
        <f>Formulaire!L63</f>
        <v>0</v>
      </c>
      <c r="D45" s="7">
        <f>Formulaire!M63</f>
        <v>0</v>
      </c>
      <c r="E45" s="7">
        <f>Formulaire!N63</f>
        <v>0</v>
      </c>
      <c r="F45" s="7">
        <f>Formulaire!O63</f>
        <v>0</v>
      </c>
      <c r="G45" s="7">
        <f>Formulaire!P63</f>
        <v>0</v>
      </c>
      <c r="H45" s="7">
        <f>Formulaire!Q63</f>
        <v>0</v>
      </c>
      <c r="I45" s="7">
        <f>Formulaire!R63</f>
        <v>0</v>
      </c>
      <c r="J45" s="7">
        <f>Formulaire!S63</f>
        <v>0</v>
      </c>
      <c r="K45" s="7">
        <f>Formulaire!T63</f>
        <v>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 x14ac:dyDescent="0.3">
      <c r="A46" s="7"/>
      <c r="B46" s="21" t="s">
        <v>315</v>
      </c>
      <c r="C46" s="7">
        <f>Formulaire!L65</f>
        <v>0</v>
      </c>
      <c r="D46" s="7">
        <f>Formulaire!M65</f>
        <v>0</v>
      </c>
      <c r="E46" s="7">
        <f>Formulaire!N65</f>
        <v>0</v>
      </c>
      <c r="F46" s="7">
        <f>Formulaire!O65</f>
        <v>0</v>
      </c>
      <c r="G46" s="7">
        <f>Formulaire!P65</f>
        <v>0</v>
      </c>
      <c r="H46" s="7">
        <f>Formulaire!Q65</f>
        <v>0</v>
      </c>
      <c r="I46" s="7">
        <f>Formulaire!R65</f>
        <v>0</v>
      </c>
      <c r="J46" s="7">
        <f>Formulaire!S65</f>
        <v>0</v>
      </c>
      <c r="K46" s="7">
        <f>Formulaire!T65</f>
        <v>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 x14ac:dyDescent="0.3">
      <c r="A47" s="7"/>
      <c r="B47" s="21" t="s">
        <v>316</v>
      </c>
      <c r="C47" s="7">
        <f>Formulaire!L67</f>
        <v>0</v>
      </c>
      <c r="D47" s="7">
        <f>Formulaire!M67</f>
        <v>0</v>
      </c>
      <c r="E47" s="7">
        <f>Formulaire!N67</f>
        <v>0</v>
      </c>
      <c r="F47" s="7">
        <f>Formulaire!O67</f>
        <v>0</v>
      </c>
      <c r="G47" s="7">
        <f>Formulaire!P67</f>
        <v>0</v>
      </c>
      <c r="H47" s="7">
        <f>Formulaire!Q67</f>
        <v>0</v>
      </c>
      <c r="I47" s="7">
        <f>Formulaire!R67</f>
        <v>0</v>
      </c>
      <c r="J47" s="7">
        <f>Formulaire!S67</f>
        <v>0</v>
      </c>
      <c r="K47" s="7">
        <f>Formulaire!T67</f>
        <v>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 x14ac:dyDescent="0.3">
      <c r="A48" s="7"/>
      <c r="B48" s="21" t="s">
        <v>317</v>
      </c>
      <c r="C48" s="7">
        <f>Formulaire!L69</f>
        <v>0</v>
      </c>
      <c r="D48" s="7">
        <f>Formulaire!M69</f>
        <v>0</v>
      </c>
      <c r="E48" s="7">
        <f>Formulaire!N69</f>
        <v>0</v>
      </c>
      <c r="F48" s="7">
        <f>Formulaire!O69</f>
        <v>0</v>
      </c>
      <c r="G48" s="7">
        <f>Formulaire!P69</f>
        <v>0</v>
      </c>
      <c r="H48" s="7">
        <f>Formulaire!Q69</f>
        <v>0</v>
      </c>
      <c r="I48" s="7">
        <f>Formulaire!R69</f>
        <v>0</v>
      </c>
      <c r="J48" s="7">
        <f>Formulaire!S69</f>
        <v>0</v>
      </c>
      <c r="K48" s="7">
        <f>Formulaire!T69</f>
        <v>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 x14ac:dyDescent="0.3">
      <c r="A49" s="7"/>
      <c r="B49" s="21" t="s">
        <v>318</v>
      </c>
      <c r="C49" s="7">
        <f>Formulaire!L71</f>
        <v>0</v>
      </c>
      <c r="D49" s="7">
        <f>Formulaire!M71</f>
        <v>0</v>
      </c>
      <c r="E49" s="7">
        <f>Formulaire!N71</f>
        <v>0</v>
      </c>
      <c r="F49" s="7">
        <f>Formulaire!O71</f>
        <v>0</v>
      </c>
      <c r="G49" s="7">
        <f>Formulaire!P71</f>
        <v>0</v>
      </c>
      <c r="H49" s="7">
        <f>Formulaire!Q71</f>
        <v>0</v>
      </c>
      <c r="I49" s="7">
        <f>Formulaire!R71</f>
        <v>0</v>
      </c>
      <c r="J49" s="7">
        <f>Formulaire!S71</f>
        <v>0</v>
      </c>
      <c r="K49" s="7">
        <f>Formulaire!T71</f>
        <v>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 x14ac:dyDescent="0.3">
      <c r="A50" s="7"/>
      <c r="B50" s="21" t="s">
        <v>319</v>
      </c>
      <c r="C50" s="7">
        <f>Formulaire!L73</f>
        <v>0</v>
      </c>
      <c r="D50" s="7">
        <f>Formulaire!M73</f>
        <v>0</v>
      </c>
      <c r="E50" s="7">
        <f>Formulaire!N73</f>
        <v>0</v>
      </c>
      <c r="F50" s="7">
        <f>Formulaire!O73</f>
        <v>0</v>
      </c>
      <c r="G50" s="7">
        <f>Formulaire!P73</f>
        <v>0</v>
      </c>
      <c r="H50" s="7">
        <f>Formulaire!Q73</f>
        <v>0</v>
      </c>
      <c r="I50" s="7">
        <f>Formulaire!R73</f>
        <v>0</v>
      </c>
      <c r="J50" s="7">
        <f>Formulaire!S73</f>
        <v>0</v>
      </c>
      <c r="K50" s="7">
        <f>Formulaire!T73</f>
        <v>0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 x14ac:dyDescent="0.3">
      <c r="A51" s="7"/>
      <c r="B51" s="21" t="s">
        <v>320</v>
      </c>
      <c r="C51" s="7">
        <f>Formulaire!L75</f>
        <v>0</v>
      </c>
      <c r="D51" s="7">
        <f>Formulaire!M75</f>
        <v>0</v>
      </c>
      <c r="E51" s="7">
        <f>Formulaire!N75</f>
        <v>0</v>
      </c>
      <c r="F51" s="7">
        <f>Formulaire!O75</f>
        <v>0</v>
      </c>
      <c r="G51" s="7">
        <f>Formulaire!P75</f>
        <v>0</v>
      </c>
      <c r="H51" s="7">
        <f>Formulaire!Q75</f>
        <v>0</v>
      </c>
      <c r="I51" s="7">
        <f>Formulaire!R75</f>
        <v>0</v>
      </c>
      <c r="J51" s="7">
        <f>Formulaire!S75</f>
        <v>0</v>
      </c>
      <c r="K51" s="7">
        <f>Formulaire!T75</f>
        <v>0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 x14ac:dyDescent="0.3">
      <c r="A52" s="7"/>
      <c r="B52" s="21" t="s">
        <v>321</v>
      </c>
      <c r="C52" s="7">
        <f>Formulaire!L77</f>
        <v>0</v>
      </c>
      <c r="D52" s="7">
        <f>Formulaire!M77</f>
        <v>0</v>
      </c>
      <c r="E52" s="7">
        <f>Formulaire!N77</f>
        <v>0</v>
      </c>
      <c r="F52" s="7">
        <f>Formulaire!O77</f>
        <v>0</v>
      </c>
      <c r="G52" s="7">
        <f>Formulaire!P77</f>
        <v>0</v>
      </c>
      <c r="H52" s="7">
        <f>Formulaire!Q77</f>
        <v>0</v>
      </c>
      <c r="I52" s="7">
        <f>Formulaire!R77</f>
        <v>0</v>
      </c>
      <c r="J52" s="7">
        <f>Formulaire!S77</f>
        <v>0</v>
      </c>
      <c r="K52" s="7">
        <f>Formulaire!T77</f>
        <v>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 x14ac:dyDescent="0.3">
      <c r="A53" s="7"/>
      <c r="B53" s="21" t="s">
        <v>322</v>
      </c>
      <c r="C53" s="7">
        <f>Formulaire!L79</f>
        <v>0</v>
      </c>
      <c r="D53" s="7">
        <f>Formulaire!M79</f>
        <v>0</v>
      </c>
      <c r="E53" s="7">
        <f>Formulaire!N79</f>
        <v>0</v>
      </c>
      <c r="F53" s="7">
        <f>Formulaire!O79</f>
        <v>0</v>
      </c>
      <c r="G53" s="7">
        <f>Formulaire!P79</f>
        <v>0</v>
      </c>
      <c r="H53" s="7">
        <f>Formulaire!Q79</f>
        <v>0</v>
      </c>
      <c r="I53" s="7">
        <f>Formulaire!R79</f>
        <v>0</v>
      </c>
      <c r="J53" s="7">
        <f>Formulaire!S79</f>
        <v>0</v>
      </c>
      <c r="K53" s="7">
        <f>Formulaire!T79</f>
        <v>0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 x14ac:dyDescent="0.3">
      <c r="A54" s="7"/>
      <c r="B54" s="21" t="s">
        <v>323</v>
      </c>
      <c r="C54" s="7">
        <f>Formulaire!L81</f>
        <v>0</v>
      </c>
      <c r="D54" s="7">
        <f>Formulaire!M81</f>
        <v>0</v>
      </c>
      <c r="E54" s="7">
        <f>Formulaire!N81</f>
        <v>0</v>
      </c>
      <c r="F54" s="7">
        <f>Formulaire!O81</f>
        <v>0</v>
      </c>
      <c r="G54" s="7">
        <f>Formulaire!P81</f>
        <v>0</v>
      </c>
      <c r="H54" s="7">
        <f>Formulaire!Q81</f>
        <v>0</v>
      </c>
      <c r="I54" s="7">
        <f>Formulaire!R81</f>
        <v>0</v>
      </c>
      <c r="J54" s="7">
        <f>Formulaire!S81</f>
        <v>0</v>
      </c>
      <c r="K54" s="7">
        <f>Formulaire!T81</f>
        <v>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 x14ac:dyDescent="0.3">
      <c r="A55" s="7"/>
      <c r="B55" s="21" t="s">
        <v>324</v>
      </c>
      <c r="C55" s="7">
        <f>Formulaire!L83</f>
        <v>0</v>
      </c>
      <c r="D55" s="7">
        <f>Formulaire!M83</f>
        <v>0</v>
      </c>
      <c r="E55" s="7">
        <f>Formulaire!N83</f>
        <v>0</v>
      </c>
      <c r="F55" s="7">
        <f>Formulaire!O83</f>
        <v>0</v>
      </c>
      <c r="G55" s="7">
        <f>Formulaire!P83</f>
        <v>0</v>
      </c>
      <c r="H55" s="7">
        <f>Formulaire!Q83</f>
        <v>0</v>
      </c>
      <c r="I55" s="7">
        <f>Formulaire!R83</f>
        <v>0</v>
      </c>
      <c r="J55" s="7">
        <f>Formulaire!S83</f>
        <v>0</v>
      </c>
      <c r="K55" s="7">
        <f>Formulaire!T83</f>
        <v>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 x14ac:dyDescent="0.3">
      <c r="A56" s="7"/>
      <c r="B56" s="21" t="s">
        <v>325</v>
      </c>
      <c r="C56" s="7">
        <f>Formulaire!L85</f>
        <v>0</v>
      </c>
      <c r="D56" s="7">
        <f>Formulaire!M85</f>
        <v>0</v>
      </c>
      <c r="E56" s="7">
        <f>Formulaire!N85</f>
        <v>0</v>
      </c>
      <c r="F56" s="7">
        <f>Formulaire!O85</f>
        <v>0</v>
      </c>
      <c r="G56" s="7">
        <f>Formulaire!P85</f>
        <v>0</v>
      </c>
      <c r="H56" s="7">
        <f>Formulaire!Q85</f>
        <v>0</v>
      </c>
      <c r="I56" s="7">
        <f>Formulaire!R85</f>
        <v>0</v>
      </c>
      <c r="J56" s="7">
        <f>Formulaire!S85</f>
        <v>0</v>
      </c>
      <c r="K56" s="7">
        <f>Formulaire!T85</f>
        <v>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 x14ac:dyDescent="0.3">
      <c r="A57" s="7"/>
      <c r="B57" s="21" t="s">
        <v>326</v>
      </c>
      <c r="C57" s="7">
        <f>Formulaire!L87</f>
        <v>0</v>
      </c>
      <c r="D57" s="7">
        <f>Formulaire!M87</f>
        <v>0</v>
      </c>
      <c r="E57" s="7">
        <f>Formulaire!N87</f>
        <v>0</v>
      </c>
      <c r="F57" s="7">
        <f>Formulaire!O87</f>
        <v>0</v>
      </c>
      <c r="G57" s="7">
        <f>Formulaire!P87</f>
        <v>0</v>
      </c>
      <c r="H57" s="7">
        <f>Formulaire!Q87</f>
        <v>0</v>
      </c>
      <c r="I57" s="7">
        <f>Formulaire!R87</f>
        <v>0</v>
      </c>
      <c r="J57" s="7">
        <f>Formulaire!S87</f>
        <v>0</v>
      </c>
      <c r="K57" s="7">
        <f>Formulaire!T87</f>
        <v>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 x14ac:dyDescent="0.3">
      <c r="A58" s="7"/>
      <c r="B58" s="21" t="s">
        <v>327</v>
      </c>
      <c r="C58" s="7">
        <f>Formulaire!L89</f>
        <v>0</v>
      </c>
      <c r="D58" s="7">
        <f>Formulaire!M89</f>
        <v>0</v>
      </c>
      <c r="E58" s="7">
        <f>Formulaire!N89</f>
        <v>0</v>
      </c>
      <c r="F58" s="7">
        <f>Formulaire!O89</f>
        <v>0</v>
      </c>
      <c r="G58" s="7">
        <f>Formulaire!P89</f>
        <v>0</v>
      </c>
      <c r="H58" s="7">
        <f>Formulaire!Q89</f>
        <v>0</v>
      </c>
      <c r="I58" s="7">
        <f>Formulaire!R89</f>
        <v>0</v>
      </c>
      <c r="J58" s="7">
        <f>Formulaire!S89</f>
        <v>0</v>
      </c>
      <c r="K58" s="7">
        <f>Formulaire!T89</f>
        <v>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 x14ac:dyDescent="0.3">
      <c r="A59" s="7"/>
      <c r="B59" s="21" t="s">
        <v>328</v>
      </c>
      <c r="C59" s="7">
        <f>Formulaire!L91</f>
        <v>0</v>
      </c>
      <c r="D59" s="7">
        <f>Formulaire!M91</f>
        <v>0</v>
      </c>
      <c r="E59" s="7">
        <f>Formulaire!N91</f>
        <v>0</v>
      </c>
      <c r="F59" s="7">
        <f>Formulaire!O91</f>
        <v>0</v>
      </c>
      <c r="G59" s="7">
        <f>Formulaire!P91</f>
        <v>0</v>
      </c>
      <c r="H59" s="7">
        <f>Formulaire!Q91</f>
        <v>0</v>
      </c>
      <c r="I59" s="7">
        <f>Formulaire!R91</f>
        <v>0</v>
      </c>
      <c r="J59" s="7">
        <f>Formulaire!S91</f>
        <v>0</v>
      </c>
      <c r="K59" s="7">
        <f>Formulaire!T91</f>
        <v>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 x14ac:dyDescent="0.25">
      <c r="A60" s="14"/>
      <c r="B60" s="32"/>
      <c r="C60" s="48" t="s">
        <v>55</v>
      </c>
      <c r="D60" s="48" t="s">
        <v>56</v>
      </c>
      <c r="E60" s="48" t="s">
        <v>57</v>
      </c>
      <c r="F60" s="48" t="s">
        <v>58</v>
      </c>
      <c r="G60" s="48" t="s">
        <v>59</v>
      </c>
      <c r="H60" s="48" t="s">
        <v>60</v>
      </c>
      <c r="I60" s="48" t="s">
        <v>61</v>
      </c>
      <c r="J60" s="48" t="s">
        <v>62</v>
      </c>
      <c r="K60" s="48" t="s">
        <v>63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ht="15.75" customHeight="1" x14ac:dyDescent="0.3">
      <c r="A61" s="7"/>
      <c r="B61" s="19" t="s">
        <v>334</v>
      </c>
      <c r="C61" s="7">
        <f t="shared" ref="C61" si="0">COUNTIF(C20:C59,1)</f>
        <v>0</v>
      </c>
      <c r="D61" s="7">
        <f t="shared" ref="D61:K61" si="1">COUNTIF(D20:D59,1)</f>
        <v>0</v>
      </c>
      <c r="E61" s="7">
        <f t="shared" si="1"/>
        <v>0</v>
      </c>
      <c r="F61" s="7">
        <f t="shared" si="1"/>
        <v>0</v>
      </c>
      <c r="G61" s="7">
        <f t="shared" si="1"/>
        <v>0</v>
      </c>
      <c r="H61" s="7">
        <f t="shared" si="1"/>
        <v>0</v>
      </c>
      <c r="I61" s="7">
        <f t="shared" si="1"/>
        <v>0</v>
      </c>
      <c r="J61" s="7">
        <f t="shared" si="1"/>
        <v>0</v>
      </c>
      <c r="K61" s="7">
        <f t="shared" si="1"/>
        <v>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 x14ac:dyDescent="0.3">
      <c r="A62" s="7"/>
      <c r="B62" s="19" t="s">
        <v>335</v>
      </c>
      <c r="C62" s="7">
        <f>COUNTIF(C20:C59,2)</f>
        <v>0</v>
      </c>
      <c r="D62" s="7">
        <f t="shared" ref="D62:K62" si="2">COUNTIF(D20:D59,2)</f>
        <v>0</v>
      </c>
      <c r="E62" s="7">
        <f t="shared" si="2"/>
        <v>0</v>
      </c>
      <c r="F62" s="7">
        <f t="shared" si="2"/>
        <v>0</v>
      </c>
      <c r="G62" s="7">
        <f t="shared" si="2"/>
        <v>0</v>
      </c>
      <c r="H62" s="7">
        <f t="shared" si="2"/>
        <v>0</v>
      </c>
      <c r="I62" s="7">
        <f t="shared" si="2"/>
        <v>0</v>
      </c>
      <c r="J62" s="7">
        <f t="shared" si="2"/>
        <v>0</v>
      </c>
      <c r="K62" s="7">
        <f t="shared" si="2"/>
        <v>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 x14ac:dyDescent="0.3">
      <c r="A63" s="7"/>
      <c r="B63" s="19" t="s">
        <v>336</v>
      </c>
      <c r="C63" s="7">
        <f>COUNTIF(C20:C59,3)</f>
        <v>0</v>
      </c>
      <c r="D63" s="7">
        <f t="shared" ref="D63:K63" si="3">COUNTIF(D20:D59,3)</f>
        <v>0</v>
      </c>
      <c r="E63" s="7">
        <f t="shared" si="3"/>
        <v>0</v>
      </c>
      <c r="F63" s="7">
        <f t="shared" si="3"/>
        <v>0</v>
      </c>
      <c r="G63" s="7">
        <f t="shared" si="3"/>
        <v>0</v>
      </c>
      <c r="H63" s="7">
        <f t="shared" si="3"/>
        <v>0</v>
      </c>
      <c r="I63" s="7">
        <f t="shared" si="3"/>
        <v>0</v>
      </c>
      <c r="J63" s="7">
        <f t="shared" si="3"/>
        <v>0</v>
      </c>
      <c r="K63" s="7">
        <f t="shared" si="3"/>
        <v>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 x14ac:dyDescent="0.3">
      <c r="A64" s="7"/>
      <c r="B64" s="19" t="s">
        <v>337</v>
      </c>
      <c r="C64" s="7">
        <f>COUNTIF(C20:C59,4)</f>
        <v>0</v>
      </c>
      <c r="D64" s="7">
        <f t="shared" ref="D64:K64" si="4">COUNTIF(D20:D59,4)</f>
        <v>0</v>
      </c>
      <c r="E64" s="7">
        <f t="shared" si="4"/>
        <v>0</v>
      </c>
      <c r="F64" s="7">
        <f t="shared" si="4"/>
        <v>0</v>
      </c>
      <c r="G64" s="7">
        <f t="shared" si="4"/>
        <v>0</v>
      </c>
      <c r="H64" s="7">
        <f t="shared" si="4"/>
        <v>0</v>
      </c>
      <c r="I64" s="7">
        <f t="shared" si="4"/>
        <v>0</v>
      </c>
      <c r="J64" s="7">
        <f t="shared" si="4"/>
        <v>0</v>
      </c>
      <c r="K64" s="7">
        <f t="shared" si="4"/>
        <v>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 x14ac:dyDescent="0.3">
      <c r="A65" s="7"/>
      <c r="B65" s="19" t="s">
        <v>338</v>
      </c>
      <c r="C65" s="7">
        <f>COUNTIF(C20:C59,5)</f>
        <v>0</v>
      </c>
      <c r="D65" s="7">
        <f t="shared" ref="D65:K65" si="5">COUNTIF(D20:D59,5)</f>
        <v>0</v>
      </c>
      <c r="E65" s="7">
        <f t="shared" si="5"/>
        <v>0</v>
      </c>
      <c r="F65" s="7">
        <f t="shared" si="5"/>
        <v>0</v>
      </c>
      <c r="G65" s="7">
        <f t="shared" si="5"/>
        <v>0</v>
      </c>
      <c r="H65" s="7">
        <f t="shared" si="5"/>
        <v>0</v>
      </c>
      <c r="I65" s="7">
        <f t="shared" si="5"/>
        <v>0</v>
      </c>
      <c r="J65" s="7">
        <f t="shared" si="5"/>
        <v>0</v>
      </c>
      <c r="K65" s="7">
        <f t="shared" si="5"/>
        <v>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 x14ac:dyDescent="0.3">
      <c r="A66" s="7"/>
      <c r="B66" s="1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 x14ac:dyDescent="0.3">
      <c r="A67" s="7"/>
      <c r="B67" s="1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 x14ac:dyDescent="0.3">
      <c r="A68" s="7"/>
      <c r="B68" s="1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 x14ac:dyDescent="0.3">
      <c r="A69" s="7"/>
      <c r="B69" s="1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 x14ac:dyDescent="0.3">
      <c r="A70" s="7"/>
      <c r="B70" s="1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 x14ac:dyDescent="0.3">
      <c r="A71" s="7"/>
      <c r="B71" s="1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 x14ac:dyDescent="0.3">
      <c r="A72" s="7"/>
      <c r="B72" s="1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 x14ac:dyDescent="0.3">
      <c r="A73" s="7"/>
      <c r="B73" s="1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 x14ac:dyDescent="0.3">
      <c r="A74" s="7"/>
      <c r="B74" s="1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 x14ac:dyDescent="0.3">
      <c r="A75" s="7"/>
      <c r="B75" s="1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 x14ac:dyDescent="0.3">
      <c r="A76" s="7"/>
      <c r="B76" s="1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 x14ac:dyDescent="0.3">
      <c r="A77" s="7"/>
      <c r="B77" s="1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 x14ac:dyDescent="0.3">
      <c r="A78" s="7"/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 x14ac:dyDescent="0.3">
      <c r="A79" s="7"/>
      <c r="B79" s="1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 x14ac:dyDescent="0.3">
      <c r="A80" s="7"/>
      <c r="B80" s="1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69" customHeight="1" x14ac:dyDescent="0.3">
      <c r="A81" s="7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 x14ac:dyDescent="0.3">
      <c r="A82" s="7"/>
      <c r="B82" s="7"/>
      <c r="C82" s="7" t="s">
        <v>44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 x14ac:dyDescent="0.3">
      <c r="A83" s="7"/>
      <c r="B83" s="1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 x14ac:dyDescent="0.3">
      <c r="A84" s="7"/>
      <c r="B84" s="1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 x14ac:dyDescent="0.3">
      <c r="A85" s="7"/>
      <c r="B85" s="1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 x14ac:dyDescent="0.3">
      <c r="A86" s="7"/>
      <c r="B86" s="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 x14ac:dyDescent="0.3">
      <c r="A87" s="7"/>
      <c r="B87" s="1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 x14ac:dyDescent="0.3">
      <c r="A88" s="7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 x14ac:dyDescent="0.3">
      <c r="A89" s="7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 x14ac:dyDescent="0.3">
      <c r="A90" s="7"/>
      <c r="B90" s="1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 x14ac:dyDescent="0.3">
      <c r="A91" s="7"/>
      <c r="B91" s="1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 x14ac:dyDescent="0.3">
      <c r="A92" s="7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 x14ac:dyDescent="0.3">
      <c r="A93" s="7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 x14ac:dyDescent="0.3">
      <c r="A94" s="7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 x14ac:dyDescent="0.3">
      <c r="A95" s="7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 x14ac:dyDescent="0.3">
      <c r="A96" s="7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 x14ac:dyDescent="0.3">
      <c r="A97" s="7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 x14ac:dyDescent="0.3">
      <c r="A98" s="7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 x14ac:dyDescent="0.3">
      <c r="A99" s="7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 x14ac:dyDescent="0.3">
      <c r="A100" s="7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 x14ac:dyDescent="0.3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 x14ac:dyDescent="0.3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 x14ac:dyDescent="0.3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 x14ac:dyDescent="0.3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 x14ac:dyDescent="0.3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 x14ac:dyDescent="0.3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 x14ac:dyDescent="0.3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 x14ac:dyDescent="0.3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 x14ac:dyDescent="0.3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 x14ac:dyDescent="0.3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 x14ac:dyDescent="0.3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 x14ac:dyDescent="0.3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 x14ac:dyDescent="0.3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 x14ac:dyDescent="0.3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 x14ac:dyDescent="0.3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 x14ac:dyDescent="0.3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 x14ac:dyDescent="0.3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 x14ac:dyDescent="0.3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 x14ac:dyDescent="0.3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 x14ac:dyDescent="0.3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 x14ac:dyDescent="0.3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 x14ac:dyDescent="0.3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 x14ac:dyDescent="0.3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 x14ac:dyDescent="0.3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 x14ac:dyDescent="0.3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 x14ac:dyDescent="0.3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 x14ac:dyDescent="0.3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 x14ac:dyDescent="0.3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 x14ac:dyDescent="0.3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 x14ac:dyDescent="0.3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 x14ac:dyDescent="0.3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 x14ac:dyDescent="0.3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 x14ac:dyDescent="0.3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 x14ac:dyDescent="0.3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 x14ac:dyDescent="0.3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 x14ac:dyDescent="0.3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 x14ac:dyDescent="0.3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 x14ac:dyDescent="0.3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 x14ac:dyDescent="0.3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 x14ac:dyDescent="0.3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 x14ac:dyDescent="0.3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 x14ac:dyDescent="0.3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 x14ac:dyDescent="0.3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 x14ac:dyDescent="0.3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 x14ac:dyDescent="0.3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 x14ac:dyDescent="0.3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 x14ac:dyDescent="0.3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 x14ac:dyDescent="0.3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 x14ac:dyDescent="0.3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 x14ac:dyDescent="0.3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 x14ac:dyDescent="0.3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 x14ac:dyDescent="0.3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 x14ac:dyDescent="0.3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 x14ac:dyDescent="0.3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 x14ac:dyDescent="0.3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 x14ac:dyDescent="0.3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 x14ac:dyDescent="0.3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 x14ac:dyDescent="0.3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 x14ac:dyDescent="0.3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 x14ac:dyDescent="0.3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 x14ac:dyDescent="0.3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 x14ac:dyDescent="0.3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 x14ac:dyDescent="0.3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 x14ac:dyDescent="0.3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 x14ac:dyDescent="0.3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 x14ac:dyDescent="0.3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 x14ac:dyDescent="0.3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 x14ac:dyDescent="0.3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 x14ac:dyDescent="0.3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 x14ac:dyDescent="0.3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 x14ac:dyDescent="0.3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 x14ac:dyDescent="0.3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 x14ac:dyDescent="0.3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 x14ac:dyDescent="0.3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 x14ac:dyDescent="0.3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 x14ac:dyDescent="0.3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 x14ac:dyDescent="0.3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 x14ac:dyDescent="0.3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 x14ac:dyDescent="0.3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 x14ac:dyDescent="0.3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 x14ac:dyDescent="0.3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 x14ac:dyDescent="0.3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 x14ac:dyDescent="0.3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 x14ac:dyDescent="0.3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 x14ac:dyDescent="0.3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 x14ac:dyDescent="0.3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 x14ac:dyDescent="0.3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 x14ac:dyDescent="0.3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 x14ac:dyDescent="0.3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 x14ac:dyDescent="0.3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 x14ac:dyDescent="0.3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 x14ac:dyDescent="0.3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 x14ac:dyDescent="0.3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 x14ac:dyDescent="0.3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 x14ac:dyDescent="0.3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 x14ac:dyDescent="0.3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 x14ac:dyDescent="0.3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 x14ac:dyDescent="0.3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 x14ac:dyDescent="0.3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 x14ac:dyDescent="0.3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 x14ac:dyDescent="0.3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 x14ac:dyDescent="0.3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 x14ac:dyDescent="0.3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 x14ac:dyDescent="0.3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 x14ac:dyDescent="0.3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 x14ac:dyDescent="0.3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 x14ac:dyDescent="0.3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 x14ac:dyDescent="0.3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 x14ac:dyDescent="0.3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 x14ac:dyDescent="0.3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 x14ac:dyDescent="0.3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 x14ac:dyDescent="0.3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 x14ac:dyDescent="0.3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 x14ac:dyDescent="0.3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 x14ac:dyDescent="0.3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 x14ac:dyDescent="0.3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 x14ac:dyDescent="0.3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 x14ac:dyDescent="0.3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 x14ac:dyDescent="0.3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 x14ac:dyDescent="0.3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 x14ac:dyDescent="0.3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 x14ac:dyDescent="0.3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 x14ac:dyDescent="0.3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 x14ac:dyDescent="0.3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 x14ac:dyDescent="0.3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 x14ac:dyDescent="0.3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 x14ac:dyDescent="0.3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 x14ac:dyDescent="0.3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 x14ac:dyDescent="0.3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 x14ac:dyDescent="0.3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 x14ac:dyDescent="0.3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 x14ac:dyDescent="0.3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 x14ac:dyDescent="0.3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 x14ac:dyDescent="0.3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 x14ac:dyDescent="0.3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 x14ac:dyDescent="0.3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 x14ac:dyDescent="0.3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 x14ac:dyDescent="0.3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 x14ac:dyDescent="0.3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 x14ac:dyDescent="0.3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 x14ac:dyDescent="0.3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 x14ac:dyDescent="0.3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 x14ac:dyDescent="0.3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 x14ac:dyDescent="0.3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 x14ac:dyDescent="0.3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 x14ac:dyDescent="0.3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 x14ac:dyDescent="0.3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 x14ac:dyDescent="0.3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 x14ac:dyDescent="0.3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 x14ac:dyDescent="0.3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 x14ac:dyDescent="0.3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 x14ac:dyDescent="0.3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 x14ac:dyDescent="0.3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 x14ac:dyDescent="0.3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 x14ac:dyDescent="0.3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 x14ac:dyDescent="0.3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 x14ac:dyDescent="0.3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 x14ac:dyDescent="0.3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 x14ac:dyDescent="0.3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 x14ac:dyDescent="0.3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 x14ac:dyDescent="0.3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 x14ac:dyDescent="0.3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 x14ac:dyDescent="0.3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 x14ac:dyDescent="0.3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 x14ac:dyDescent="0.3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 x14ac:dyDescent="0.3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 x14ac:dyDescent="0.3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 x14ac:dyDescent="0.3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 x14ac:dyDescent="0.3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 x14ac:dyDescent="0.3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 x14ac:dyDescent="0.3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 x14ac:dyDescent="0.3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 x14ac:dyDescent="0.3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 x14ac:dyDescent="0.3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 x14ac:dyDescent="0.3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 x14ac:dyDescent="0.3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 x14ac:dyDescent="0.3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 x14ac:dyDescent="0.3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 x14ac:dyDescent="0.3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 x14ac:dyDescent="0.3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 x14ac:dyDescent="0.3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 x14ac:dyDescent="0.3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 x14ac:dyDescent="0.3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 x14ac:dyDescent="0.3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 x14ac:dyDescent="0.3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 x14ac:dyDescent="0.3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 x14ac:dyDescent="0.3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 x14ac:dyDescent="0.3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 x14ac:dyDescent="0.3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 x14ac:dyDescent="0.3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 x14ac:dyDescent="0.3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 x14ac:dyDescent="0.3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 x14ac:dyDescent="0.3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 x14ac:dyDescent="0.3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 x14ac:dyDescent="0.3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 x14ac:dyDescent="0.3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 x14ac:dyDescent="0.3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 x14ac:dyDescent="0.3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 x14ac:dyDescent="0.3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 x14ac:dyDescent="0.3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 x14ac:dyDescent="0.3">
      <c r="A301" s="7"/>
      <c r="B301" s="1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 x14ac:dyDescent="0.3">
      <c r="A302" s="7"/>
      <c r="B302" s="1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 x14ac:dyDescent="0.3">
      <c r="A303" s="7"/>
      <c r="B303" s="1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 x14ac:dyDescent="0.3">
      <c r="A304" s="7"/>
      <c r="B304" s="1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 x14ac:dyDescent="0.3">
      <c r="A305" s="7"/>
      <c r="B305" s="1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 x14ac:dyDescent="0.3">
      <c r="A306" s="7"/>
      <c r="B306" s="1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 x14ac:dyDescent="0.3">
      <c r="A307" s="7"/>
      <c r="B307" s="1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 x14ac:dyDescent="0.3">
      <c r="A308" s="7"/>
      <c r="B308" s="1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 x14ac:dyDescent="0.3">
      <c r="A309" s="7"/>
      <c r="B309" s="1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 x14ac:dyDescent="0.3">
      <c r="A310" s="7"/>
      <c r="B310" s="1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 x14ac:dyDescent="0.3">
      <c r="A311" s="7"/>
      <c r="B311" s="1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 x14ac:dyDescent="0.3">
      <c r="A312" s="7"/>
      <c r="B312" s="1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 x14ac:dyDescent="0.3">
      <c r="A313" s="7"/>
      <c r="B313" s="1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 x14ac:dyDescent="0.3">
      <c r="A314" s="7"/>
      <c r="B314" s="1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 x14ac:dyDescent="0.3">
      <c r="A315" s="7"/>
      <c r="B315" s="1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 x14ac:dyDescent="0.3">
      <c r="A316" s="7"/>
      <c r="B316" s="1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 x14ac:dyDescent="0.3">
      <c r="A317" s="7"/>
      <c r="B317" s="1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 x14ac:dyDescent="0.3">
      <c r="A318" s="7"/>
      <c r="B318" s="1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 x14ac:dyDescent="0.3">
      <c r="A319" s="7"/>
      <c r="B319" s="1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 x14ac:dyDescent="0.3">
      <c r="A320" s="7"/>
      <c r="B320" s="1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 x14ac:dyDescent="0.3">
      <c r="A321" s="7"/>
      <c r="B321" s="1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 x14ac:dyDescent="0.3">
      <c r="A322" s="7"/>
      <c r="B322" s="1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 x14ac:dyDescent="0.3">
      <c r="A323" s="7"/>
      <c r="B323" s="1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 x14ac:dyDescent="0.3">
      <c r="A324" s="7"/>
      <c r="B324" s="1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 x14ac:dyDescent="0.3">
      <c r="A325" s="7"/>
      <c r="B325" s="1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 x14ac:dyDescent="0.3">
      <c r="A326" s="7"/>
      <c r="B326" s="1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 x14ac:dyDescent="0.3">
      <c r="A327" s="7"/>
      <c r="B327" s="1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 x14ac:dyDescent="0.3">
      <c r="A328" s="7"/>
      <c r="B328" s="1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 x14ac:dyDescent="0.3">
      <c r="A329" s="7"/>
      <c r="B329" s="1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 x14ac:dyDescent="0.3">
      <c r="A330" s="7"/>
      <c r="B330" s="1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 x14ac:dyDescent="0.3">
      <c r="A331" s="7"/>
      <c r="B331" s="1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 x14ac:dyDescent="0.3">
      <c r="A332" s="7"/>
      <c r="B332" s="1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 x14ac:dyDescent="0.3">
      <c r="A333" s="7"/>
      <c r="B333" s="1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 x14ac:dyDescent="0.3">
      <c r="A334" s="7"/>
      <c r="B334" s="1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 x14ac:dyDescent="0.3">
      <c r="A335" s="7"/>
      <c r="B335" s="1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 x14ac:dyDescent="0.3">
      <c r="A336" s="7"/>
      <c r="B336" s="1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75" customHeight="1" x14ac:dyDescent="0.3">
      <c r="A337" s="7"/>
      <c r="B337" s="1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75" customHeight="1" x14ac:dyDescent="0.3">
      <c r="A338" s="7"/>
      <c r="B338" s="1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75" customHeight="1" x14ac:dyDescent="0.3">
      <c r="A339" s="7"/>
      <c r="B339" s="1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75" customHeight="1" x14ac:dyDescent="0.3">
      <c r="A340" s="7"/>
      <c r="B340" s="1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75" customHeight="1" x14ac:dyDescent="0.3">
      <c r="A341" s="7"/>
      <c r="B341" s="1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75" customHeight="1" x14ac:dyDescent="0.3">
      <c r="A342" s="7"/>
      <c r="B342" s="1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75" customHeight="1" x14ac:dyDescent="0.3">
      <c r="A343" s="7"/>
      <c r="B343" s="1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75" customHeight="1" x14ac:dyDescent="0.3">
      <c r="A344" s="7"/>
      <c r="B344" s="1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75" customHeight="1" x14ac:dyDescent="0.3">
      <c r="A345" s="7"/>
      <c r="B345" s="1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75" customHeight="1" x14ac:dyDescent="0.3">
      <c r="A346" s="7"/>
      <c r="B346" s="1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75" customHeight="1" x14ac:dyDescent="0.3">
      <c r="A347" s="7"/>
      <c r="B347" s="1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75" customHeight="1" x14ac:dyDescent="0.3">
      <c r="A348" s="7"/>
      <c r="B348" s="1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75" customHeight="1" x14ac:dyDescent="0.3">
      <c r="A349" s="7"/>
      <c r="B349" s="1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75" customHeight="1" x14ac:dyDescent="0.3">
      <c r="A350" s="7"/>
      <c r="B350" s="1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75" customHeight="1" x14ac:dyDescent="0.3">
      <c r="A351" s="7"/>
      <c r="B351" s="1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75" customHeight="1" x14ac:dyDescent="0.3">
      <c r="A352" s="7"/>
      <c r="B352" s="1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75" customHeight="1" x14ac:dyDescent="0.3">
      <c r="A353" s="7"/>
      <c r="B353" s="1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75" customHeight="1" x14ac:dyDescent="0.3">
      <c r="A354" s="7"/>
      <c r="B354" s="1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75" customHeight="1" x14ac:dyDescent="0.3">
      <c r="A355" s="7"/>
      <c r="B355" s="1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75" customHeight="1" x14ac:dyDescent="0.3">
      <c r="A356" s="7"/>
      <c r="B356" s="1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75" customHeight="1" x14ac:dyDescent="0.3">
      <c r="A357" s="7"/>
      <c r="B357" s="1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75" customHeight="1" x14ac:dyDescent="0.3">
      <c r="A358" s="7"/>
      <c r="B358" s="1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75" customHeight="1" x14ac:dyDescent="0.3">
      <c r="A359" s="7"/>
      <c r="B359" s="1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75" customHeight="1" x14ac:dyDescent="0.3">
      <c r="A360" s="7"/>
      <c r="B360" s="1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75" customHeight="1" x14ac:dyDescent="0.3">
      <c r="A361" s="7"/>
      <c r="B361" s="1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75" customHeight="1" x14ac:dyDescent="0.3">
      <c r="A362" s="7"/>
      <c r="B362" s="1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75" customHeight="1" x14ac:dyDescent="0.3">
      <c r="A363" s="7"/>
      <c r="B363" s="1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75" customHeight="1" x14ac:dyDescent="0.3">
      <c r="A364" s="7"/>
      <c r="B364" s="1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75" customHeight="1" x14ac:dyDescent="0.3">
      <c r="A365" s="7"/>
      <c r="B365" s="1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75" customHeight="1" x14ac:dyDescent="0.3">
      <c r="A366" s="7"/>
      <c r="B366" s="1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75" customHeight="1" x14ac:dyDescent="0.3">
      <c r="A367" s="7"/>
      <c r="B367" s="1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75" customHeight="1" x14ac:dyDescent="0.3">
      <c r="A368" s="7"/>
      <c r="B368" s="1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75" customHeight="1" x14ac:dyDescent="0.3">
      <c r="A369" s="7"/>
      <c r="B369" s="1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75" customHeight="1" x14ac:dyDescent="0.3">
      <c r="A370" s="7"/>
      <c r="B370" s="1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75" customHeight="1" x14ac:dyDescent="0.3">
      <c r="A371" s="7"/>
      <c r="B371" s="1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75" customHeight="1" x14ac:dyDescent="0.3">
      <c r="A372" s="7"/>
      <c r="B372" s="1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75" customHeight="1" x14ac:dyDescent="0.3">
      <c r="A373" s="7"/>
      <c r="B373" s="1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75" customHeight="1" x14ac:dyDescent="0.3">
      <c r="A374" s="7"/>
      <c r="B374" s="1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75" customHeight="1" x14ac:dyDescent="0.3">
      <c r="A375" s="7"/>
      <c r="B375" s="1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75" customHeight="1" x14ac:dyDescent="0.3">
      <c r="A376" s="7"/>
      <c r="B376" s="1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75" customHeight="1" x14ac:dyDescent="0.3">
      <c r="A377" s="7"/>
      <c r="B377" s="1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75" customHeight="1" x14ac:dyDescent="0.3">
      <c r="A378" s="7"/>
      <c r="B378" s="1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75" customHeight="1" x14ac:dyDescent="0.3">
      <c r="A379" s="7"/>
      <c r="B379" s="1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75" customHeight="1" x14ac:dyDescent="0.3">
      <c r="A380" s="7"/>
      <c r="B380" s="1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75" customHeight="1" x14ac:dyDescent="0.3">
      <c r="A381" s="7"/>
      <c r="B381" s="1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75" customHeight="1" x14ac:dyDescent="0.3">
      <c r="A382" s="7"/>
      <c r="B382" s="1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75" customHeight="1" x14ac:dyDescent="0.3">
      <c r="A383" s="7"/>
      <c r="B383" s="1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75" customHeight="1" x14ac:dyDescent="0.3">
      <c r="A384" s="7"/>
      <c r="B384" s="1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75" customHeight="1" x14ac:dyDescent="0.3">
      <c r="A385" s="7"/>
      <c r="B385" s="1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75" customHeight="1" x14ac:dyDescent="0.3">
      <c r="A386" s="7"/>
      <c r="B386" s="1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75" customHeight="1" x14ac:dyDescent="0.3">
      <c r="A387" s="7"/>
      <c r="B387" s="1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75" customHeight="1" x14ac:dyDescent="0.3">
      <c r="A388" s="7"/>
      <c r="B388" s="1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75" customHeight="1" x14ac:dyDescent="0.3">
      <c r="A389" s="7"/>
      <c r="B389" s="1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75" customHeight="1" x14ac:dyDescent="0.3">
      <c r="A390" s="7"/>
      <c r="B390" s="1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75" customHeight="1" x14ac:dyDescent="0.3">
      <c r="A391" s="7"/>
      <c r="B391" s="1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75" customHeight="1" x14ac:dyDescent="0.3">
      <c r="A392" s="7"/>
      <c r="B392" s="1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75" customHeight="1" x14ac:dyDescent="0.3">
      <c r="A393" s="7"/>
      <c r="B393" s="1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75" customHeight="1" x14ac:dyDescent="0.3">
      <c r="A394" s="7"/>
      <c r="B394" s="1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75" customHeight="1" x14ac:dyDescent="0.3">
      <c r="A395" s="7"/>
      <c r="B395" s="1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75" customHeight="1" x14ac:dyDescent="0.3">
      <c r="A396" s="7"/>
      <c r="B396" s="1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75" customHeight="1" x14ac:dyDescent="0.3">
      <c r="A397" s="7"/>
      <c r="B397" s="1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75" customHeight="1" x14ac:dyDescent="0.3">
      <c r="A398" s="7"/>
      <c r="B398" s="1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75" customHeight="1" x14ac:dyDescent="0.3">
      <c r="A399" s="7"/>
      <c r="B399" s="1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75" customHeight="1" x14ac:dyDescent="0.3">
      <c r="A400" s="7"/>
      <c r="B400" s="1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75" customHeight="1" x14ac:dyDescent="0.3">
      <c r="A401" s="7"/>
      <c r="B401" s="1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75" customHeight="1" x14ac:dyDescent="0.3">
      <c r="A402" s="7"/>
      <c r="B402" s="1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75" customHeight="1" x14ac:dyDescent="0.3">
      <c r="A403" s="7"/>
      <c r="B403" s="1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75" customHeight="1" x14ac:dyDescent="0.3">
      <c r="A404" s="7"/>
      <c r="B404" s="1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75" customHeight="1" x14ac:dyDescent="0.3">
      <c r="A405" s="7"/>
      <c r="B405" s="1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75" customHeight="1" x14ac:dyDescent="0.3">
      <c r="A406" s="7"/>
      <c r="B406" s="1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75" customHeight="1" x14ac:dyDescent="0.3">
      <c r="A407" s="7"/>
      <c r="B407" s="1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75" customHeight="1" x14ac:dyDescent="0.3">
      <c r="A408" s="7"/>
      <c r="B408" s="1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75" customHeight="1" x14ac:dyDescent="0.3">
      <c r="A409" s="7"/>
      <c r="B409" s="1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75" customHeight="1" x14ac:dyDescent="0.3">
      <c r="A410" s="7"/>
      <c r="B410" s="1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75" customHeight="1" x14ac:dyDescent="0.3">
      <c r="A411" s="7"/>
      <c r="B411" s="1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75" customHeight="1" x14ac:dyDescent="0.3">
      <c r="A412" s="7"/>
      <c r="B412" s="1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75" customHeight="1" x14ac:dyDescent="0.3">
      <c r="A413" s="7"/>
      <c r="B413" s="1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75" customHeight="1" x14ac:dyDescent="0.3">
      <c r="A414" s="7"/>
      <c r="B414" s="1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75" customHeight="1" x14ac:dyDescent="0.3">
      <c r="A415" s="7"/>
      <c r="B415" s="1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75" customHeight="1" x14ac:dyDescent="0.3">
      <c r="A416" s="7"/>
      <c r="B416" s="1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75" customHeight="1" x14ac:dyDescent="0.3">
      <c r="A417" s="7"/>
      <c r="B417" s="1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75" customHeight="1" x14ac:dyDescent="0.3">
      <c r="A418" s="7"/>
      <c r="B418" s="1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75" customHeight="1" x14ac:dyDescent="0.3">
      <c r="A419" s="7"/>
      <c r="B419" s="1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75" customHeight="1" x14ac:dyDescent="0.3">
      <c r="A420" s="7"/>
      <c r="B420" s="1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75" customHeight="1" x14ac:dyDescent="0.3">
      <c r="A421" s="7"/>
      <c r="B421" s="1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75" customHeight="1" x14ac:dyDescent="0.3">
      <c r="A422" s="7"/>
      <c r="B422" s="1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75" customHeight="1" x14ac:dyDescent="0.3">
      <c r="A423" s="7"/>
      <c r="B423" s="1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75" customHeight="1" x14ac:dyDescent="0.3">
      <c r="A424" s="7"/>
      <c r="B424" s="1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75" customHeight="1" x14ac:dyDescent="0.3">
      <c r="A425" s="7"/>
      <c r="B425" s="1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75" customHeight="1" x14ac:dyDescent="0.3">
      <c r="A426" s="7"/>
      <c r="B426" s="1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75" customHeight="1" x14ac:dyDescent="0.3">
      <c r="A427" s="7"/>
      <c r="B427" s="1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75" customHeight="1" x14ac:dyDescent="0.3">
      <c r="A428" s="7"/>
      <c r="B428" s="1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75" customHeight="1" x14ac:dyDescent="0.3">
      <c r="A429" s="7"/>
      <c r="B429" s="1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75" customHeight="1" x14ac:dyDescent="0.3">
      <c r="A430" s="7"/>
      <c r="B430" s="1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75" customHeight="1" x14ac:dyDescent="0.3">
      <c r="A431" s="7"/>
      <c r="B431" s="1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75" customHeight="1" x14ac:dyDescent="0.3">
      <c r="A432" s="7"/>
      <c r="B432" s="1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75" customHeight="1" x14ac:dyDescent="0.3">
      <c r="A433" s="7"/>
      <c r="B433" s="1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75" customHeight="1" x14ac:dyDescent="0.3">
      <c r="A434" s="7"/>
      <c r="B434" s="1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75" customHeight="1" x14ac:dyDescent="0.3">
      <c r="A435" s="7"/>
      <c r="B435" s="1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75" customHeight="1" x14ac:dyDescent="0.3">
      <c r="A436" s="7"/>
      <c r="B436" s="1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75" customHeight="1" x14ac:dyDescent="0.3">
      <c r="A437" s="7"/>
      <c r="B437" s="1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75" customHeight="1" x14ac:dyDescent="0.3">
      <c r="A438" s="7"/>
      <c r="B438" s="1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75" customHeight="1" x14ac:dyDescent="0.3">
      <c r="A439" s="7"/>
      <c r="B439" s="1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75" customHeight="1" x14ac:dyDescent="0.3">
      <c r="A440" s="7"/>
      <c r="B440" s="1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75" customHeight="1" x14ac:dyDescent="0.3">
      <c r="A441" s="7"/>
      <c r="B441" s="1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75" customHeight="1" x14ac:dyDescent="0.3">
      <c r="A442" s="7"/>
      <c r="B442" s="1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75" customHeight="1" x14ac:dyDescent="0.3">
      <c r="A443" s="7"/>
      <c r="B443" s="1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75" customHeight="1" x14ac:dyDescent="0.3">
      <c r="A444" s="7"/>
      <c r="B444" s="1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75" customHeight="1" x14ac:dyDescent="0.3">
      <c r="A445" s="7"/>
      <c r="B445" s="1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75" customHeight="1" x14ac:dyDescent="0.3">
      <c r="A446" s="7"/>
      <c r="B446" s="1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75" customHeight="1" x14ac:dyDescent="0.3">
      <c r="A447" s="7"/>
      <c r="B447" s="1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75" customHeight="1" x14ac:dyDescent="0.3">
      <c r="A448" s="7"/>
      <c r="B448" s="1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75" customHeight="1" x14ac:dyDescent="0.3">
      <c r="A449" s="7"/>
      <c r="B449" s="1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75" customHeight="1" x14ac:dyDescent="0.3">
      <c r="A450" s="7"/>
      <c r="B450" s="1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75" customHeight="1" x14ac:dyDescent="0.3">
      <c r="A451" s="7"/>
      <c r="B451" s="1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75" customHeight="1" x14ac:dyDescent="0.3">
      <c r="A452" s="7"/>
      <c r="B452" s="1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75" customHeight="1" x14ac:dyDescent="0.3">
      <c r="A453" s="7"/>
      <c r="B453" s="1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75" customHeight="1" x14ac:dyDescent="0.3">
      <c r="A454" s="7"/>
      <c r="B454" s="1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75" customHeight="1" x14ac:dyDescent="0.3">
      <c r="A455" s="7"/>
      <c r="B455" s="1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75" customHeight="1" x14ac:dyDescent="0.3">
      <c r="A456" s="7"/>
      <c r="B456" s="1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 x14ac:dyDescent="0.3">
      <c r="A457" s="7"/>
      <c r="B457" s="1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75" customHeight="1" x14ac:dyDescent="0.3">
      <c r="A458" s="7"/>
      <c r="B458" s="1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75" customHeight="1" x14ac:dyDescent="0.3">
      <c r="A459" s="7"/>
      <c r="B459" s="1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75" customHeight="1" x14ac:dyDescent="0.3">
      <c r="A460" s="7"/>
      <c r="B460" s="1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75" customHeight="1" x14ac:dyDescent="0.3">
      <c r="A461" s="7"/>
      <c r="B461" s="1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75" customHeight="1" x14ac:dyDescent="0.3">
      <c r="A462" s="7"/>
      <c r="B462" s="1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75" customHeight="1" x14ac:dyDescent="0.3">
      <c r="A463" s="7"/>
      <c r="B463" s="1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75" customHeight="1" x14ac:dyDescent="0.3">
      <c r="A464" s="7"/>
      <c r="B464" s="1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75" customHeight="1" x14ac:dyDescent="0.3">
      <c r="A465" s="7"/>
      <c r="B465" s="1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75" customHeight="1" x14ac:dyDescent="0.3">
      <c r="A466" s="7"/>
      <c r="B466" s="1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75" customHeight="1" x14ac:dyDescent="0.3">
      <c r="A467" s="7"/>
      <c r="B467" s="1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75" customHeight="1" x14ac:dyDescent="0.3">
      <c r="A468" s="7"/>
      <c r="B468" s="1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75" customHeight="1" x14ac:dyDescent="0.3">
      <c r="A469" s="7"/>
      <c r="B469" s="1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75" customHeight="1" x14ac:dyDescent="0.3">
      <c r="A470" s="7"/>
      <c r="B470" s="1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75" customHeight="1" x14ac:dyDescent="0.3">
      <c r="A471" s="7"/>
      <c r="B471" s="1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75" customHeight="1" x14ac:dyDescent="0.3">
      <c r="A472" s="7"/>
      <c r="B472" s="1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75" customHeight="1" x14ac:dyDescent="0.3">
      <c r="A473" s="7"/>
      <c r="B473" s="1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75" customHeight="1" x14ac:dyDescent="0.3">
      <c r="A474" s="7"/>
      <c r="B474" s="1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75" customHeight="1" x14ac:dyDescent="0.3">
      <c r="A475" s="7"/>
      <c r="B475" s="1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75" customHeight="1" x14ac:dyDescent="0.3">
      <c r="A476" s="7"/>
      <c r="B476" s="1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75" customHeight="1" x14ac:dyDescent="0.3">
      <c r="A477" s="7"/>
      <c r="B477" s="1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75" customHeight="1" x14ac:dyDescent="0.3">
      <c r="A478" s="7"/>
      <c r="B478" s="1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75" customHeight="1" x14ac:dyDescent="0.3">
      <c r="A479" s="7"/>
      <c r="B479" s="1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75" customHeight="1" x14ac:dyDescent="0.3">
      <c r="A480" s="7"/>
      <c r="B480" s="1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75" customHeight="1" x14ac:dyDescent="0.3">
      <c r="A481" s="7"/>
      <c r="B481" s="1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75" customHeight="1" x14ac:dyDescent="0.3">
      <c r="A482" s="7"/>
      <c r="B482" s="1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75" customHeight="1" x14ac:dyDescent="0.3">
      <c r="A483" s="7"/>
      <c r="B483" s="1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75" customHeight="1" x14ac:dyDescent="0.3">
      <c r="A484" s="7"/>
      <c r="B484" s="1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75" customHeight="1" x14ac:dyDescent="0.3">
      <c r="A485" s="7"/>
      <c r="B485" s="1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75" customHeight="1" x14ac:dyDescent="0.3">
      <c r="A486" s="7"/>
      <c r="B486" s="1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75" customHeight="1" x14ac:dyDescent="0.3">
      <c r="A487" s="7"/>
      <c r="B487" s="1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75" customHeight="1" x14ac:dyDescent="0.3">
      <c r="A488" s="7"/>
      <c r="B488" s="1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75" customHeight="1" x14ac:dyDescent="0.3">
      <c r="A489" s="7"/>
      <c r="B489" s="1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75" customHeight="1" x14ac:dyDescent="0.3">
      <c r="A490" s="7"/>
      <c r="B490" s="1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75" customHeight="1" x14ac:dyDescent="0.3">
      <c r="A491" s="7"/>
      <c r="B491" s="1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75" customHeight="1" x14ac:dyDescent="0.3">
      <c r="A492" s="7"/>
      <c r="B492" s="1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75" customHeight="1" x14ac:dyDescent="0.3">
      <c r="A493" s="7"/>
      <c r="B493" s="1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75" customHeight="1" x14ac:dyDescent="0.3">
      <c r="A494" s="7"/>
      <c r="B494" s="1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75" customHeight="1" x14ac:dyDescent="0.3">
      <c r="A495" s="7"/>
      <c r="B495" s="1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75" customHeight="1" x14ac:dyDescent="0.3">
      <c r="A496" s="7"/>
      <c r="B496" s="1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75" customHeight="1" x14ac:dyDescent="0.3">
      <c r="A497" s="7"/>
      <c r="B497" s="1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75" customHeight="1" x14ac:dyDescent="0.3">
      <c r="A498" s="7"/>
      <c r="B498" s="1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75" customHeight="1" x14ac:dyDescent="0.3">
      <c r="A499" s="7"/>
      <c r="B499" s="1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75" customHeight="1" x14ac:dyDescent="0.3">
      <c r="A500" s="7"/>
      <c r="B500" s="1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75" customHeight="1" x14ac:dyDescent="0.3">
      <c r="A501" s="7"/>
      <c r="B501" s="1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75" customHeight="1" x14ac:dyDescent="0.3">
      <c r="A502" s="7"/>
      <c r="B502" s="1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75" customHeight="1" x14ac:dyDescent="0.3">
      <c r="A503" s="7"/>
      <c r="B503" s="1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75" customHeight="1" x14ac:dyDescent="0.3">
      <c r="A504" s="7"/>
      <c r="B504" s="1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75" customHeight="1" x14ac:dyDescent="0.3">
      <c r="A505" s="7"/>
      <c r="B505" s="1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75" customHeight="1" x14ac:dyDescent="0.3">
      <c r="A506" s="7"/>
      <c r="B506" s="1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75" customHeight="1" x14ac:dyDescent="0.3">
      <c r="A507" s="7"/>
      <c r="B507" s="1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75" customHeight="1" x14ac:dyDescent="0.3">
      <c r="A508" s="7"/>
      <c r="B508" s="1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75" customHeight="1" x14ac:dyDescent="0.3">
      <c r="A509" s="7"/>
      <c r="B509" s="1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75" customHeight="1" x14ac:dyDescent="0.3">
      <c r="A510" s="7"/>
      <c r="B510" s="1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75" customHeight="1" x14ac:dyDescent="0.3">
      <c r="A511" s="7"/>
      <c r="B511" s="1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75" customHeight="1" x14ac:dyDescent="0.3">
      <c r="A512" s="7"/>
      <c r="B512" s="1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75" customHeight="1" x14ac:dyDescent="0.3">
      <c r="A513" s="7"/>
      <c r="B513" s="1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75" customHeight="1" x14ac:dyDescent="0.3">
      <c r="A514" s="7"/>
      <c r="B514" s="1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75" customHeight="1" x14ac:dyDescent="0.3">
      <c r="A515" s="7"/>
      <c r="B515" s="1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75" customHeight="1" x14ac:dyDescent="0.3">
      <c r="A516" s="7"/>
      <c r="B516" s="1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75" customHeight="1" x14ac:dyDescent="0.3">
      <c r="A517" s="7"/>
      <c r="B517" s="1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75" customHeight="1" x14ac:dyDescent="0.3">
      <c r="A518" s="7"/>
      <c r="B518" s="1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75" customHeight="1" x14ac:dyDescent="0.3">
      <c r="A519" s="7"/>
      <c r="B519" s="1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75" customHeight="1" x14ac:dyDescent="0.3">
      <c r="A520" s="7"/>
      <c r="B520" s="1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75" customHeight="1" x14ac:dyDescent="0.3">
      <c r="A521" s="7"/>
      <c r="B521" s="1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75" customHeight="1" x14ac:dyDescent="0.3">
      <c r="A522" s="7"/>
      <c r="B522" s="1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75" customHeight="1" x14ac:dyDescent="0.3">
      <c r="A523" s="7"/>
      <c r="B523" s="1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75" customHeight="1" x14ac:dyDescent="0.3">
      <c r="A524" s="7"/>
      <c r="B524" s="1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75" customHeight="1" x14ac:dyDescent="0.3">
      <c r="A525" s="7"/>
      <c r="B525" s="1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75" customHeight="1" x14ac:dyDescent="0.3">
      <c r="A526" s="7"/>
      <c r="B526" s="1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75" customHeight="1" x14ac:dyDescent="0.3">
      <c r="A527" s="7"/>
      <c r="B527" s="1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75" customHeight="1" x14ac:dyDescent="0.3">
      <c r="A528" s="7"/>
      <c r="B528" s="1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75" customHeight="1" x14ac:dyDescent="0.3">
      <c r="A529" s="7"/>
      <c r="B529" s="1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75" customHeight="1" x14ac:dyDescent="0.3">
      <c r="A530" s="7"/>
      <c r="B530" s="1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75" customHeight="1" x14ac:dyDescent="0.3">
      <c r="A531" s="7"/>
      <c r="B531" s="1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75" customHeight="1" x14ac:dyDescent="0.3">
      <c r="A532" s="7"/>
      <c r="B532" s="1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75" customHeight="1" x14ac:dyDescent="0.3">
      <c r="A533" s="7"/>
      <c r="B533" s="1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75" customHeight="1" x14ac:dyDescent="0.3">
      <c r="A534" s="7"/>
      <c r="B534" s="1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75" customHeight="1" x14ac:dyDescent="0.3">
      <c r="A535" s="7"/>
      <c r="B535" s="1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75" customHeight="1" x14ac:dyDescent="0.3">
      <c r="A536" s="7"/>
      <c r="B536" s="1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75" customHeight="1" x14ac:dyDescent="0.3">
      <c r="A537" s="7"/>
      <c r="B537" s="1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75" customHeight="1" x14ac:dyDescent="0.3">
      <c r="A538" s="7"/>
      <c r="B538" s="1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75" customHeight="1" x14ac:dyDescent="0.3">
      <c r="A539" s="7"/>
      <c r="B539" s="1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75" customHeight="1" x14ac:dyDescent="0.3">
      <c r="A540" s="7"/>
      <c r="B540" s="1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75" customHeight="1" x14ac:dyDescent="0.3">
      <c r="A541" s="7"/>
      <c r="B541" s="1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75" customHeight="1" x14ac:dyDescent="0.3">
      <c r="A542" s="7"/>
      <c r="B542" s="1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75" customHeight="1" x14ac:dyDescent="0.3">
      <c r="A543" s="7"/>
      <c r="B543" s="1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75" customHeight="1" x14ac:dyDescent="0.3">
      <c r="A544" s="7"/>
      <c r="B544" s="1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75" customHeight="1" x14ac:dyDescent="0.3">
      <c r="A545" s="7"/>
      <c r="B545" s="1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75" customHeight="1" x14ac:dyDescent="0.3">
      <c r="A546" s="7"/>
      <c r="B546" s="1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75" customHeight="1" x14ac:dyDescent="0.3">
      <c r="A547" s="7"/>
      <c r="B547" s="1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75" customHeight="1" x14ac:dyDescent="0.3">
      <c r="A548" s="7"/>
      <c r="B548" s="1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75" customHeight="1" x14ac:dyDescent="0.3">
      <c r="A549" s="7"/>
      <c r="B549" s="1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75" customHeight="1" x14ac:dyDescent="0.3">
      <c r="A550" s="7"/>
      <c r="B550" s="1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75" customHeight="1" x14ac:dyDescent="0.3">
      <c r="A551" s="7"/>
      <c r="B551" s="1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75" customHeight="1" x14ac:dyDescent="0.3">
      <c r="A552" s="7"/>
      <c r="B552" s="1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75" customHeight="1" x14ac:dyDescent="0.3">
      <c r="A553" s="7"/>
      <c r="B553" s="1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75" customHeight="1" x14ac:dyDescent="0.3">
      <c r="A554" s="7"/>
      <c r="B554" s="1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75" customHeight="1" x14ac:dyDescent="0.3">
      <c r="A555" s="7"/>
      <c r="B555" s="1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75" customHeight="1" x14ac:dyDescent="0.3">
      <c r="A556" s="7"/>
      <c r="B556" s="1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75" customHeight="1" x14ac:dyDescent="0.3">
      <c r="A557" s="7"/>
      <c r="B557" s="1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75" customHeight="1" x14ac:dyDescent="0.3">
      <c r="A558" s="7"/>
      <c r="B558" s="1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75" customHeight="1" x14ac:dyDescent="0.3">
      <c r="A559" s="7"/>
      <c r="B559" s="1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75" customHeight="1" x14ac:dyDescent="0.3">
      <c r="A560" s="7"/>
      <c r="B560" s="1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75" customHeight="1" x14ac:dyDescent="0.3">
      <c r="A561" s="7"/>
      <c r="B561" s="1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75" customHeight="1" x14ac:dyDescent="0.3">
      <c r="A562" s="7"/>
      <c r="B562" s="1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75" customHeight="1" x14ac:dyDescent="0.3">
      <c r="A563" s="7"/>
      <c r="B563" s="1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75" customHeight="1" x14ac:dyDescent="0.3">
      <c r="A564" s="7"/>
      <c r="B564" s="1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75" customHeight="1" x14ac:dyDescent="0.3">
      <c r="A565" s="7"/>
      <c r="B565" s="1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75" customHeight="1" x14ac:dyDescent="0.3">
      <c r="A566" s="7"/>
      <c r="B566" s="1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75" customHeight="1" x14ac:dyDescent="0.3">
      <c r="A567" s="7"/>
      <c r="B567" s="1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75" customHeight="1" x14ac:dyDescent="0.3">
      <c r="A568" s="7"/>
      <c r="B568" s="1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75" customHeight="1" x14ac:dyDescent="0.3">
      <c r="A569" s="7"/>
      <c r="B569" s="1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75" customHeight="1" x14ac:dyDescent="0.3">
      <c r="A570" s="7"/>
      <c r="B570" s="1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75" customHeight="1" x14ac:dyDescent="0.3">
      <c r="A571" s="7"/>
      <c r="B571" s="1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75" customHeight="1" x14ac:dyDescent="0.3">
      <c r="A572" s="7"/>
      <c r="B572" s="1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75" customHeight="1" x14ac:dyDescent="0.3">
      <c r="A573" s="7"/>
      <c r="B573" s="1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75" customHeight="1" x14ac:dyDescent="0.3">
      <c r="A574" s="7"/>
      <c r="B574" s="1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75" customHeight="1" x14ac:dyDescent="0.3">
      <c r="A575" s="7"/>
      <c r="B575" s="1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75" customHeight="1" x14ac:dyDescent="0.3">
      <c r="A576" s="7"/>
      <c r="B576" s="1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75" customHeight="1" x14ac:dyDescent="0.3">
      <c r="A577" s="7"/>
      <c r="B577" s="1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75" customHeight="1" x14ac:dyDescent="0.3">
      <c r="A578" s="7"/>
      <c r="B578" s="1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75" customHeight="1" x14ac:dyDescent="0.3">
      <c r="A579" s="7"/>
      <c r="B579" s="1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75" customHeight="1" x14ac:dyDescent="0.3">
      <c r="A580" s="7"/>
      <c r="B580" s="1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75" customHeight="1" x14ac:dyDescent="0.3">
      <c r="A581" s="7"/>
      <c r="B581" s="1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75" customHeight="1" x14ac:dyDescent="0.3">
      <c r="A582" s="7"/>
      <c r="B582" s="1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75" customHeight="1" x14ac:dyDescent="0.3">
      <c r="A583" s="7"/>
      <c r="B583" s="1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75" customHeight="1" x14ac:dyDescent="0.3">
      <c r="A584" s="7"/>
      <c r="B584" s="1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75" customHeight="1" x14ac:dyDescent="0.3">
      <c r="A585" s="7"/>
      <c r="B585" s="1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75" customHeight="1" x14ac:dyDescent="0.3">
      <c r="A586" s="7"/>
      <c r="B586" s="1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75" customHeight="1" x14ac:dyDescent="0.3">
      <c r="A587" s="7"/>
      <c r="B587" s="1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75" customHeight="1" x14ac:dyDescent="0.3">
      <c r="A588" s="7"/>
      <c r="B588" s="1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75" customHeight="1" x14ac:dyDescent="0.3">
      <c r="A589" s="7"/>
      <c r="B589" s="1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75" customHeight="1" x14ac:dyDescent="0.3">
      <c r="A590" s="7"/>
      <c r="B590" s="1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75" customHeight="1" x14ac:dyDescent="0.3">
      <c r="A591" s="7"/>
      <c r="B591" s="1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75" customHeight="1" x14ac:dyDescent="0.3">
      <c r="A592" s="7"/>
      <c r="B592" s="1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75" customHeight="1" x14ac:dyDescent="0.3">
      <c r="A593" s="7"/>
      <c r="B593" s="1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75" customHeight="1" x14ac:dyDescent="0.3">
      <c r="A594" s="7"/>
      <c r="B594" s="1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75" customHeight="1" x14ac:dyDescent="0.3">
      <c r="A595" s="7"/>
      <c r="B595" s="1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75" customHeight="1" x14ac:dyDescent="0.3">
      <c r="A596" s="7"/>
      <c r="B596" s="1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75" customHeight="1" x14ac:dyDescent="0.3">
      <c r="A597" s="7"/>
      <c r="B597" s="1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75" customHeight="1" x14ac:dyDescent="0.3">
      <c r="A598" s="7"/>
      <c r="B598" s="1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75" customHeight="1" x14ac:dyDescent="0.3">
      <c r="A599" s="7"/>
      <c r="B599" s="1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75" customHeight="1" x14ac:dyDescent="0.3">
      <c r="A600" s="7"/>
      <c r="B600" s="1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75" customHeight="1" x14ac:dyDescent="0.3">
      <c r="A601" s="7"/>
      <c r="B601" s="1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75" customHeight="1" x14ac:dyDescent="0.3">
      <c r="A602" s="7"/>
      <c r="B602" s="1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75" customHeight="1" x14ac:dyDescent="0.3">
      <c r="A603" s="7"/>
      <c r="B603" s="1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75" customHeight="1" x14ac:dyDescent="0.3">
      <c r="A604" s="7"/>
      <c r="B604" s="1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75" customHeight="1" x14ac:dyDescent="0.3">
      <c r="A605" s="7"/>
      <c r="B605" s="1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75" customHeight="1" x14ac:dyDescent="0.3">
      <c r="A606" s="7"/>
      <c r="B606" s="1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75" customHeight="1" x14ac:dyDescent="0.3">
      <c r="A607" s="7"/>
      <c r="B607" s="1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75" customHeight="1" x14ac:dyDescent="0.3">
      <c r="A608" s="7"/>
      <c r="B608" s="1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75" customHeight="1" x14ac:dyDescent="0.3">
      <c r="A609" s="7"/>
      <c r="B609" s="1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75" customHeight="1" x14ac:dyDescent="0.3">
      <c r="A610" s="7"/>
      <c r="B610" s="1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75" customHeight="1" x14ac:dyDescent="0.3">
      <c r="A611" s="7"/>
      <c r="B611" s="1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75" customHeight="1" x14ac:dyDescent="0.3">
      <c r="A612" s="7"/>
      <c r="B612" s="1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75" customHeight="1" x14ac:dyDescent="0.3">
      <c r="A613" s="7"/>
      <c r="B613" s="1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75" customHeight="1" x14ac:dyDescent="0.3">
      <c r="A614" s="7"/>
      <c r="B614" s="1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75" customHeight="1" x14ac:dyDescent="0.3">
      <c r="A615" s="7"/>
      <c r="B615" s="1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75" customHeight="1" x14ac:dyDescent="0.3">
      <c r="A616" s="7"/>
      <c r="B616" s="1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75" customHeight="1" x14ac:dyDescent="0.3">
      <c r="A617" s="7"/>
      <c r="B617" s="1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75" customHeight="1" x14ac:dyDescent="0.3">
      <c r="A618" s="7"/>
      <c r="B618" s="1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75" customHeight="1" x14ac:dyDescent="0.3">
      <c r="A619" s="7"/>
      <c r="B619" s="1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75" customHeight="1" x14ac:dyDescent="0.3">
      <c r="A620" s="7"/>
      <c r="B620" s="1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75" customHeight="1" x14ac:dyDescent="0.3">
      <c r="A621" s="7"/>
      <c r="B621" s="1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75" customHeight="1" x14ac:dyDescent="0.3">
      <c r="A622" s="7"/>
      <c r="B622" s="1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75" customHeight="1" x14ac:dyDescent="0.3">
      <c r="A623" s="7"/>
      <c r="B623" s="1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75" customHeight="1" x14ac:dyDescent="0.3">
      <c r="A624" s="7"/>
      <c r="B624" s="1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75" customHeight="1" x14ac:dyDescent="0.3">
      <c r="A625" s="7"/>
      <c r="B625" s="1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75" customHeight="1" x14ac:dyDescent="0.3">
      <c r="A626" s="7"/>
      <c r="B626" s="1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75" customHeight="1" x14ac:dyDescent="0.3">
      <c r="A627" s="7"/>
      <c r="B627" s="1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75" customHeight="1" x14ac:dyDescent="0.3">
      <c r="A628" s="7"/>
      <c r="B628" s="1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75" customHeight="1" x14ac:dyDescent="0.3">
      <c r="A629" s="7"/>
      <c r="B629" s="1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75" customHeight="1" x14ac:dyDescent="0.3">
      <c r="A630" s="7"/>
      <c r="B630" s="1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75" customHeight="1" x14ac:dyDescent="0.3">
      <c r="A631" s="7"/>
      <c r="B631" s="1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75" customHeight="1" x14ac:dyDescent="0.3">
      <c r="A632" s="7"/>
      <c r="B632" s="1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75" customHeight="1" x14ac:dyDescent="0.3">
      <c r="A633" s="7"/>
      <c r="B633" s="1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75" customHeight="1" x14ac:dyDescent="0.3">
      <c r="A634" s="7"/>
      <c r="B634" s="1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75" customHeight="1" x14ac:dyDescent="0.3">
      <c r="A635" s="7"/>
      <c r="B635" s="1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75" customHeight="1" x14ac:dyDescent="0.3">
      <c r="A636" s="7"/>
      <c r="B636" s="1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75" customHeight="1" x14ac:dyDescent="0.3">
      <c r="A637" s="7"/>
      <c r="B637" s="1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75" customHeight="1" x14ac:dyDescent="0.3">
      <c r="A638" s="7"/>
      <c r="B638" s="1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75" customHeight="1" x14ac:dyDescent="0.3">
      <c r="A639" s="7"/>
      <c r="B639" s="1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75" customHeight="1" x14ac:dyDescent="0.3">
      <c r="A640" s="7"/>
      <c r="B640" s="1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75" customHeight="1" x14ac:dyDescent="0.3">
      <c r="A641" s="7"/>
      <c r="B641" s="1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75" customHeight="1" x14ac:dyDescent="0.3">
      <c r="A642" s="7"/>
      <c r="B642" s="1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75" customHeight="1" x14ac:dyDescent="0.3">
      <c r="A643" s="7"/>
      <c r="B643" s="1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75" customHeight="1" x14ac:dyDescent="0.3">
      <c r="A644" s="7"/>
      <c r="B644" s="1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75" customHeight="1" x14ac:dyDescent="0.3">
      <c r="A645" s="7"/>
      <c r="B645" s="1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75" customHeight="1" x14ac:dyDescent="0.3">
      <c r="A646" s="7"/>
      <c r="B646" s="1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75" customHeight="1" x14ac:dyDescent="0.3">
      <c r="A647" s="7"/>
      <c r="B647" s="1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75" customHeight="1" x14ac:dyDescent="0.3">
      <c r="A648" s="7"/>
      <c r="B648" s="1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75" customHeight="1" x14ac:dyDescent="0.3">
      <c r="A649" s="7"/>
      <c r="B649" s="1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75" customHeight="1" x14ac:dyDescent="0.3">
      <c r="A650" s="7"/>
      <c r="B650" s="1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75" customHeight="1" x14ac:dyDescent="0.3">
      <c r="A651" s="7"/>
      <c r="B651" s="1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75" customHeight="1" x14ac:dyDescent="0.3">
      <c r="A652" s="7"/>
      <c r="B652" s="1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75" customHeight="1" x14ac:dyDescent="0.3">
      <c r="A653" s="7"/>
      <c r="B653" s="1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75" customHeight="1" x14ac:dyDescent="0.3">
      <c r="A654" s="7"/>
      <c r="B654" s="1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75" customHeight="1" x14ac:dyDescent="0.3">
      <c r="A655" s="7"/>
      <c r="B655" s="1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75" customHeight="1" x14ac:dyDescent="0.3">
      <c r="A656" s="7"/>
      <c r="B656" s="1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75" customHeight="1" x14ac:dyDescent="0.3">
      <c r="A657" s="7"/>
      <c r="B657" s="1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75" customHeight="1" x14ac:dyDescent="0.3">
      <c r="A658" s="7"/>
      <c r="B658" s="1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75" customHeight="1" x14ac:dyDescent="0.3">
      <c r="A659" s="7"/>
      <c r="B659" s="1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75" customHeight="1" x14ac:dyDescent="0.3">
      <c r="A660" s="7"/>
      <c r="B660" s="1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75" customHeight="1" x14ac:dyDescent="0.3">
      <c r="A661" s="7"/>
      <c r="B661" s="1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75" customHeight="1" x14ac:dyDescent="0.3">
      <c r="A662" s="7"/>
      <c r="B662" s="1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75" customHeight="1" x14ac:dyDescent="0.3">
      <c r="A663" s="7"/>
      <c r="B663" s="1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75" customHeight="1" x14ac:dyDescent="0.3">
      <c r="A664" s="7"/>
      <c r="B664" s="1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75" customHeight="1" x14ac:dyDescent="0.3">
      <c r="A665" s="7"/>
      <c r="B665" s="1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75" customHeight="1" x14ac:dyDescent="0.3">
      <c r="A666" s="7"/>
      <c r="B666" s="1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75" customHeight="1" x14ac:dyDescent="0.3">
      <c r="A667" s="7"/>
      <c r="B667" s="1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75" customHeight="1" x14ac:dyDescent="0.3">
      <c r="A668" s="7"/>
      <c r="B668" s="1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75" customHeight="1" x14ac:dyDescent="0.3">
      <c r="A669" s="7"/>
      <c r="B669" s="1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75" customHeight="1" x14ac:dyDescent="0.3">
      <c r="A670" s="7"/>
      <c r="B670" s="1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75" customHeight="1" x14ac:dyDescent="0.3">
      <c r="A671" s="7"/>
      <c r="B671" s="1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75" customHeight="1" x14ac:dyDescent="0.3">
      <c r="A672" s="7"/>
      <c r="B672" s="1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75" customHeight="1" x14ac:dyDescent="0.3">
      <c r="A673" s="7"/>
      <c r="B673" s="1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75" customHeight="1" x14ac:dyDescent="0.3">
      <c r="A674" s="7"/>
      <c r="B674" s="1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75" customHeight="1" x14ac:dyDescent="0.3">
      <c r="A675" s="7"/>
      <c r="B675" s="1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75" customHeight="1" x14ac:dyDescent="0.3">
      <c r="A676" s="7"/>
      <c r="B676" s="1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75" customHeight="1" x14ac:dyDescent="0.3">
      <c r="A677" s="7"/>
      <c r="B677" s="1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75" customHeight="1" x14ac:dyDescent="0.3">
      <c r="A678" s="7"/>
      <c r="B678" s="1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75" customHeight="1" x14ac:dyDescent="0.3">
      <c r="A679" s="7"/>
      <c r="B679" s="1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75" customHeight="1" x14ac:dyDescent="0.3">
      <c r="A680" s="7"/>
      <c r="B680" s="1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75" customHeight="1" x14ac:dyDescent="0.3">
      <c r="A681" s="7"/>
      <c r="B681" s="1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75" customHeight="1" x14ac:dyDescent="0.3">
      <c r="A682" s="7"/>
      <c r="B682" s="1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75" customHeight="1" x14ac:dyDescent="0.3">
      <c r="A683" s="7"/>
      <c r="B683" s="1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75" customHeight="1" x14ac:dyDescent="0.3">
      <c r="A684" s="7"/>
      <c r="B684" s="1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75" customHeight="1" x14ac:dyDescent="0.3">
      <c r="A685" s="7"/>
      <c r="B685" s="1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75" customHeight="1" x14ac:dyDescent="0.3">
      <c r="A686" s="7"/>
      <c r="B686" s="1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75" customHeight="1" x14ac:dyDescent="0.3">
      <c r="A687" s="7"/>
      <c r="B687" s="1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75" customHeight="1" x14ac:dyDescent="0.3">
      <c r="A688" s="7"/>
      <c r="B688" s="1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75" customHeight="1" x14ac:dyDescent="0.3">
      <c r="A689" s="7"/>
      <c r="B689" s="1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75" customHeight="1" x14ac:dyDescent="0.3">
      <c r="A690" s="7"/>
      <c r="B690" s="1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75" customHeight="1" x14ac:dyDescent="0.3">
      <c r="A691" s="7"/>
      <c r="B691" s="1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75" customHeight="1" x14ac:dyDescent="0.3">
      <c r="A692" s="7"/>
      <c r="B692" s="1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75" customHeight="1" x14ac:dyDescent="0.3">
      <c r="A693" s="7"/>
      <c r="B693" s="1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75" customHeight="1" x14ac:dyDescent="0.3">
      <c r="A694" s="7"/>
      <c r="B694" s="1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75" customHeight="1" x14ac:dyDescent="0.3">
      <c r="A695" s="7"/>
      <c r="B695" s="1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75" customHeight="1" x14ac:dyDescent="0.3">
      <c r="A696" s="7"/>
      <c r="B696" s="1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75" customHeight="1" x14ac:dyDescent="0.3">
      <c r="A697" s="7"/>
      <c r="B697" s="1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75" customHeight="1" x14ac:dyDescent="0.3">
      <c r="A698" s="7"/>
      <c r="B698" s="1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75" customHeight="1" x14ac:dyDescent="0.3">
      <c r="A699" s="7"/>
      <c r="B699" s="1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75" customHeight="1" x14ac:dyDescent="0.3">
      <c r="A700" s="7"/>
      <c r="B700" s="1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75" customHeight="1" x14ac:dyDescent="0.3">
      <c r="A701" s="7"/>
      <c r="B701" s="1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75" customHeight="1" x14ac:dyDescent="0.3">
      <c r="A702" s="7"/>
      <c r="B702" s="1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75" customHeight="1" x14ac:dyDescent="0.3">
      <c r="A703" s="7"/>
      <c r="B703" s="1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75" customHeight="1" x14ac:dyDescent="0.3">
      <c r="A704" s="7"/>
      <c r="B704" s="1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75" customHeight="1" x14ac:dyDescent="0.3">
      <c r="A705" s="7"/>
      <c r="B705" s="1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75" customHeight="1" x14ac:dyDescent="0.3">
      <c r="A706" s="7"/>
      <c r="B706" s="1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75" customHeight="1" x14ac:dyDescent="0.3">
      <c r="A707" s="7"/>
      <c r="B707" s="1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75" customHeight="1" x14ac:dyDescent="0.3">
      <c r="A708" s="7"/>
      <c r="B708" s="1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75" customHeight="1" x14ac:dyDescent="0.3">
      <c r="A709" s="7"/>
      <c r="B709" s="1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75" customHeight="1" x14ac:dyDescent="0.3">
      <c r="A710" s="7"/>
      <c r="B710" s="1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75" customHeight="1" x14ac:dyDescent="0.3">
      <c r="A711" s="7"/>
      <c r="B711" s="1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75" customHeight="1" x14ac:dyDescent="0.3">
      <c r="A712" s="7"/>
      <c r="B712" s="1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75" customHeight="1" x14ac:dyDescent="0.3">
      <c r="A713" s="7"/>
      <c r="B713" s="1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75" customHeight="1" x14ac:dyDescent="0.3">
      <c r="A714" s="7"/>
      <c r="B714" s="1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75" customHeight="1" x14ac:dyDescent="0.3">
      <c r="A715" s="7"/>
      <c r="B715" s="1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75" customHeight="1" x14ac:dyDescent="0.3">
      <c r="A716" s="7"/>
      <c r="B716" s="1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75" customHeight="1" x14ac:dyDescent="0.3">
      <c r="A717" s="7"/>
      <c r="B717" s="1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75" customHeight="1" x14ac:dyDescent="0.3">
      <c r="A718" s="7"/>
      <c r="B718" s="1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75" customHeight="1" x14ac:dyDescent="0.3">
      <c r="A719" s="7"/>
      <c r="B719" s="1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75" customHeight="1" x14ac:dyDescent="0.3">
      <c r="A720" s="7"/>
      <c r="B720" s="1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75" customHeight="1" x14ac:dyDescent="0.3">
      <c r="A721" s="7"/>
      <c r="B721" s="1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75" customHeight="1" x14ac:dyDescent="0.3">
      <c r="A722" s="7"/>
      <c r="B722" s="1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75" customHeight="1" x14ac:dyDescent="0.3">
      <c r="A723" s="7"/>
      <c r="B723" s="1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75" customHeight="1" x14ac:dyDescent="0.3">
      <c r="A724" s="7"/>
      <c r="B724" s="1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75" customHeight="1" x14ac:dyDescent="0.3">
      <c r="A725" s="7"/>
      <c r="B725" s="1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75" customHeight="1" x14ac:dyDescent="0.3">
      <c r="A726" s="7"/>
      <c r="B726" s="1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75" customHeight="1" x14ac:dyDescent="0.3">
      <c r="A727" s="7"/>
      <c r="B727" s="1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75" customHeight="1" x14ac:dyDescent="0.3">
      <c r="A728" s="7"/>
      <c r="B728" s="1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75" customHeight="1" x14ac:dyDescent="0.3">
      <c r="A729" s="7"/>
      <c r="B729" s="1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75" customHeight="1" x14ac:dyDescent="0.3">
      <c r="A730" s="7"/>
      <c r="B730" s="1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75" customHeight="1" x14ac:dyDescent="0.3">
      <c r="A731" s="7"/>
      <c r="B731" s="1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75" customHeight="1" x14ac:dyDescent="0.3">
      <c r="A732" s="7"/>
      <c r="B732" s="1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75" customHeight="1" x14ac:dyDescent="0.3">
      <c r="A733" s="7"/>
      <c r="B733" s="1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75" customHeight="1" x14ac:dyDescent="0.3">
      <c r="A734" s="7"/>
      <c r="B734" s="1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75" customHeight="1" x14ac:dyDescent="0.3">
      <c r="A735" s="7"/>
      <c r="B735" s="1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75" customHeight="1" x14ac:dyDescent="0.3">
      <c r="A736" s="7"/>
      <c r="B736" s="1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75" customHeight="1" x14ac:dyDescent="0.3">
      <c r="A737" s="7"/>
      <c r="B737" s="1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75" customHeight="1" x14ac:dyDescent="0.3">
      <c r="A738" s="7"/>
      <c r="B738" s="1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75" customHeight="1" x14ac:dyDescent="0.3">
      <c r="A739" s="7"/>
      <c r="B739" s="1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75" customHeight="1" x14ac:dyDescent="0.3">
      <c r="A740" s="7"/>
      <c r="B740" s="1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75" customHeight="1" x14ac:dyDescent="0.3">
      <c r="A741" s="7"/>
      <c r="B741" s="1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75" customHeight="1" x14ac:dyDescent="0.3">
      <c r="A742" s="7"/>
      <c r="B742" s="1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75" customHeight="1" x14ac:dyDescent="0.3">
      <c r="A743" s="7"/>
      <c r="B743" s="1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75" customHeight="1" x14ac:dyDescent="0.3">
      <c r="A744" s="7"/>
      <c r="B744" s="1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75" customHeight="1" x14ac:dyDescent="0.3">
      <c r="A745" s="7"/>
      <c r="B745" s="1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75" customHeight="1" x14ac:dyDescent="0.3">
      <c r="A746" s="7"/>
      <c r="B746" s="1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75" customHeight="1" x14ac:dyDescent="0.3">
      <c r="A747" s="7"/>
      <c r="B747" s="1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75" customHeight="1" x14ac:dyDescent="0.3">
      <c r="A748" s="7"/>
      <c r="B748" s="1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75" customHeight="1" x14ac:dyDescent="0.3">
      <c r="A749" s="7"/>
      <c r="B749" s="1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75" customHeight="1" x14ac:dyDescent="0.3">
      <c r="A750" s="7"/>
      <c r="B750" s="1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75" customHeight="1" x14ac:dyDescent="0.3">
      <c r="A751" s="7"/>
      <c r="B751" s="1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75" customHeight="1" x14ac:dyDescent="0.3">
      <c r="A752" s="7"/>
      <c r="B752" s="1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75" customHeight="1" x14ac:dyDescent="0.3">
      <c r="A753" s="7"/>
      <c r="B753" s="1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75" customHeight="1" x14ac:dyDescent="0.3">
      <c r="A754" s="7"/>
      <c r="B754" s="1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75" customHeight="1" x14ac:dyDescent="0.3">
      <c r="A755" s="7"/>
      <c r="B755" s="1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75" customHeight="1" x14ac:dyDescent="0.3">
      <c r="A756" s="7"/>
      <c r="B756" s="1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75" customHeight="1" x14ac:dyDescent="0.3">
      <c r="A757" s="7"/>
      <c r="B757" s="1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75" customHeight="1" x14ac:dyDescent="0.3">
      <c r="A758" s="7"/>
      <c r="B758" s="1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75" customHeight="1" x14ac:dyDescent="0.3">
      <c r="A759" s="7"/>
      <c r="B759" s="1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75" customHeight="1" x14ac:dyDescent="0.3">
      <c r="A760" s="7"/>
      <c r="B760" s="1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75" customHeight="1" x14ac:dyDescent="0.3">
      <c r="A761" s="7"/>
      <c r="B761" s="1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75" customHeight="1" x14ac:dyDescent="0.3">
      <c r="A762" s="7"/>
      <c r="B762" s="1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75" customHeight="1" x14ac:dyDescent="0.3">
      <c r="A763" s="7"/>
      <c r="B763" s="1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75" customHeight="1" x14ac:dyDescent="0.3">
      <c r="A764" s="7"/>
      <c r="B764" s="1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75" customHeight="1" x14ac:dyDescent="0.3">
      <c r="A765" s="7"/>
      <c r="B765" s="1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75" customHeight="1" x14ac:dyDescent="0.3">
      <c r="A766" s="7"/>
      <c r="B766" s="1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75" customHeight="1" x14ac:dyDescent="0.3">
      <c r="A767" s="7"/>
      <c r="B767" s="1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75" customHeight="1" x14ac:dyDescent="0.3">
      <c r="A768" s="7"/>
      <c r="B768" s="1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75" customHeight="1" x14ac:dyDescent="0.3">
      <c r="A769" s="7"/>
      <c r="B769" s="1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75" customHeight="1" x14ac:dyDescent="0.3">
      <c r="A770" s="7"/>
      <c r="B770" s="1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75" customHeight="1" x14ac:dyDescent="0.3">
      <c r="A771" s="7"/>
      <c r="B771" s="1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75" customHeight="1" x14ac:dyDescent="0.3">
      <c r="A772" s="7"/>
      <c r="B772" s="1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75" customHeight="1" x14ac:dyDescent="0.3">
      <c r="A773" s="7"/>
      <c r="B773" s="1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75" customHeight="1" x14ac:dyDescent="0.3">
      <c r="A774" s="7"/>
      <c r="B774" s="1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75" customHeight="1" x14ac:dyDescent="0.3">
      <c r="A775" s="7"/>
      <c r="B775" s="1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75" customHeight="1" x14ac:dyDescent="0.3">
      <c r="A776" s="7"/>
      <c r="B776" s="1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75" customHeight="1" x14ac:dyDescent="0.3">
      <c r="A777" s="7"/>
      <c r="B777" s="1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75" customHeight="1" x14ac:dyDescent="0.3">
      <c r="A778" s="7"/>
      <c r="B778" s="1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75" customHeight="1" x14ac:dyDescent="0.3">
      <c r="A779" s="7"/>
      <c r="B779" s="1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75" customHeight="1" x14ac:dyDescent="0.3">
      <c r="A780" s="7"/>
      <c r="B780" s="1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75" customHeight="1" x14ac:dyDescent="0.3">
      <c r="A781" s="7"/>
      <c r="B781" s="1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75" customHeight="1" x14ac:dyDescent="0.3">
      <c r="A782" s="7"/>
      <c r="B782" s="1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75" customHeight="1" x14ac:dyDescent="0.3">
      <c r="A783" s="7"/>
      <c r="B783" s="1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75" customHeight="1" x14ac:dyDescent="0.3">
      <c r="A784" s="7"/>
      <c r="B784" s="1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75" customHeight="1" x14ac:dyDescent="0.3">
      <c r="A785" s="7"/>
      <c r="B785" s="1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75" customHeight="1" x14ac:dyDescent="0.3">
      <c r="A786" s="7"/>
      <c r="B786" s="1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75" customHeight="1" x14ac:dyDescent="0.3">
      <c r="A787" s="7"/>
      <c r="B787" s="1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75" customHeight="1" x14ac:dyDescent="0.3">
      <c r="A788" s="7"/>
      <c r="B788" s="1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75" customHeight="1" x14ac:dyDescent="0.3">
      <c r="A789" s="7"/>
      <c r="B789" s="1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75" customHeight="1" x14ac:dyDescent="0.3">
      <c r="A790" s="7"/>
      <c r="B790" s="1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75" customHeight="1" x14ac:dyDescent="0.3">
      <c r="A791" s="7"/>
      <c r="B791" s="1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75" customHeight="1" x14ac:dyDescent="0.3">
      <c r="A792" s="7"/>
      <c r="B792" s="1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75" customHeight="1" x14ac:dyDescent="0.3">
      <c r="A793" s="7"/>
      <c r="B793" s="1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75" customHeight="1" x14ac:dyDescent="0.3">
      <c r="A794" s="7"/>
      <c r="B794" s="1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75" customHeight="1" x14ac:dyDescent="0.3">
      <c r="A795" s="7"/>
      <c r="B795" s="1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75" customHeight="1" x14ac:dyDescent="0.3">
      <c r="A796" s="7"/>
      <c r="B796" s="1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75" customHeight="1" x14ac:dyDescent="0.3">
      <c r="A797" s="7"/>
      <c r="B797" s="1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75" customHeight="1" x14ac:dyDescent="0.3">
      <c r="A798" s="7"/>
      <c r="B798" s="1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75" customHeight="1" x14ac:dyDescent="0.3">
      <c r="A799" s="7"/>
      <c r="B799" s="1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75" customHeight="1" x14ac:dyDescent="0.3">
      <c r="A800" s="7"/>
      <c r="B800" s="1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75" customHeight="1" x14ac:dyDescent="0.3">
      <c r="A801" s="7"/>
      <c r="B801" s="1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75" customHeight="1" x14ac:dyDescent="0.3">
      <c r="A802" s="7"/>
      <c r="B802" s="1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75" customHeight="1" x14ac:dyDescent="0.3">
      <c r="A803" s="7"/>
      <c r="B803" s="1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75" customHeight="1" x14ac:dyDescent="0.3">
      <c r="A804" s="7"/>
      <c r="B804" s="1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75" customHeight="1" x14ac:dyDescent="0.3">
      <c r="A805" s="7"/>
      <c r="B805" s="1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75" customHeight="1" x14ac:dyDescent="0.3">
      <c r="A806" s="7"/>
      <c r="B806" s="1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75" customHeight="1" x14ac:dyDescent="0.3">
      <c r="A807" s="7"/>
      <c r="B807" s="1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75" customHeight="1" x14ac:dyDescent="0.3">
      <c r="A808" s="7"/>
      <c r="B808" s="1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75" customHeight="1" x14ac:dyDescent="0.3">
      <c r="A809" s="7"/>
      <c r="B809" s="1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75" customHeight="1" x14ac:dyDescent="0.3">
      <c r="A810" s="7"/>
      <c r="B810" s="1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75" customHeight="1" x14ac:dyDescent="0.3">
      <c r="A811" s="7"/>
      <c r="B811" s="1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75" customHeight="1" x14ac:dyDescent="0.3">
      <c r="A812" s="7"/>
      <c r="B812" s="1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75" customHeight="1" x14ac:dyDescent="0.3">
      <c r="A813" s="7"/>
      <c r="B813" s="1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75" customHeight="1" x14ac:dyDescent="0.3">
      <c r="A814" s="7"/>
      <c r="B814" s="1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75" customHeight="1" x14ac:dyDescent="0.3">
      <c r="A815" s="7"/>
      <c r="B815" s="1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75" customHeight="1" x14ac:dyDescent="0.3">
      <c r="A816" s="7"/>
      <c r="B816" s="1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75" customHeight="1" x14ac:dyDescent="0.3">
      <c r="A817" s="7"/>
      <c r="B817" s="1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75" customHeight="1" x14ac:dyDescent="0.3">
      <c r="A818" s="7"/>
      <c r="B818" s="1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75" customHeight="1" x14ac:dyDescent="0.3">
      <c r="A819" s="7"/>
      <c r="B819" s="1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75" customHeight="1" x14ac:dyDescent="0.3">
      <c r="A820" s="7"/>
      <c r="B820" s="1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75" customHeight="1" x14ac:dyDescent="0.3">
      <c r="A821" s="7"/>
      <c r="B821" s="1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75" customHeight="1" x14ac:dyDescent="0.3">
      <c r="A822" s="7"/>
      <c r="B822" s="1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75" customHeight="1" x14ac:dyDescent="0.3">
      <c r="A823" s="7"/>
      <c r="B823" s="1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75" customHeight="1" x14ac:dyDescent="0.3">
      <c r="A824" s="7"/>
      <c r="B824" s="1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75" customHeight="1" x14ac:dyDescent="0.3">
      <c r="A825" s="7"/>
      <c r="B825" s="1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75" customHeight="1" x14ac:dyDescent="0.3">
      <c r="A826" s="7"/>
      <c r="B826" s="1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75" customHeight="1" x14ac:dyDescent="0.3">
      <c r="A827" s="7"/>
      <c r="B827" s="1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75" customHeight="1" x14ac:dyDescent="0.3">
      <c r="A828" s="7"/>
      <c r="B828" s="1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75" customHeight="1" x14ac:dyDescent="0.3">
      <c r="A829" s="7"/>
      <c r="B829" s="1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75" customHeight="1" x14ac:dyDescent="0.3">
      <c r="A830" s="7"/>
      <c r="B830" s="1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75" customHeight="1" x14ac:dyDescent="0.3">
      <c r="A831" s="7"/>
      <c r="B831" s="1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75" customHeight="1" x14ac:dyDescent="0.3">
      <c r="A832" s="7"/>
      <c r="B832" s="1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75" customHeight="1" x14ac:dyDescent="0.3">
      <c r="A833" s="7"/>
      <c r="B833" s="1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75" customHeight="1" x14ac:dyDescent="0.3">
      <c r="A834" s="7"/>
      <c r="B834" s="1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75" customHeight="1" x14ac:dyDescent="0.3">
      <c r="A835" s="7"/>
      <c r="B835" s="1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75" customHeight="1" x14ac:dyDescent="0.3">
      <c r="A836" s="7"/>
      <c r="B836" s="1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75" customHeight="1" x14ac:dyDescent="0.3">
      <c r="A837" s="7"/>
      <c r="B837" s="1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75" customHeight="1" x14ac:dyDescent="0.3">
      <c r="A838" s="7"/>
      <c r="B838" s="1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75" customHeight="1" x14ac:dyDescent="0.3">
      <c r="A839" s="7"/>
      <c r="B839" s="1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75" customHeight="1" x14ac:dyDescent="0.3">
      <c r="A840" s="7"/>
      <c r="B840" s="1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75" customHeight="1" x14ac:dyDescent="0.3">
      <c r="A841" s="7"/>
      <c r="B841" s="1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75" customHeight="1" x14ac:dyDescent="0.3">
      <c r="A842" s="7"/>
      <c r="B842" s="1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75" customHeight="1" x14ac:dyDescent="0.3">
      <c r="A843" s="7"/>
      <c r="B843" s="1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75" customHeight="1" x14ac:dyDescent="0.3">
      <c r="A844" s="7"/>
      <c r="B844" s="1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75" customHeight="1" x14ac:dyDescent="0.3">
      <c r="A845" s="7"/>
      <c r="B845" s="1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75" customHeight="1" x14ac:dyDescent="0.3">
      <c r="A846" s="7"/>
      <c r="B846" s="1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75" customHeight="1" x14ac:dyDescent="0.3">
      <c r="A847" s="7"/>
      <c r="B847" s="1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75" customHeight="1" x14ac:dyDescent="0.3">
      <c r="A848" s="7"/>
      <c r="B848" s="1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75" customHeight="1" x14ac:dyDescent="0.3">
      <c r="A849" s="7"/>
      <c r="B849" s="1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75" customHeight="1" x14ac:dyDescent="0.3">
      <c r="A850" s="7"/>
      <c r="B850" s="1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75" customHeight="1" x14ac:dyDescent="0.3">
      <c r="A851" s="7"/>
      <c r="B851" s="1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75" customHeight="1" x14ac:dyDescent="0.3">
      <c r="A852" s="7"/>
      <c r="B852" s="1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75" customHeight="1" x14ac:dyDescent="0.3">
      <c r="A853" s="7"/>
      <c r="B853" s="1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75" customHeight="1" x14ac:dyDescent="0.3">
      <c r="A854" s="7"/>
      <c r="B854" s="1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75" customHeight="1" x14ac:dyDescent="0.3">
      <c r="A855" s="7"/>
      <c r="B855" s="1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75" customHeight="1" x14ac:dyDescent="0.3">
      <c r="A856" s="7"/>
      <c r="B856" s="1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75" customHeight="1" x14ac:dyDescent="0.3">
      <c r="A857" s="7"/>
      <c r="B857" s="1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75" customHeight="1" x14ac:dyDescent="0.3">
      <c r="A858" s="7"/>
      <c r="B858" s="1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75" customHeight="1" x14ac:dyDescent="0.3">
      <c r="A859" s="7"/>
      <c r="B859" s="1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75" customHeight="1" x14ac:dyDescent="0.3">
      <c r="A860" s="7"/>
      <c r="B860" s="1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75" customHeight="1" x14ac:dyDescent="0.3">
      <c r="A861" s="7"/>
      <c r="B861" s="1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75" customHeight="1" x14ac:dyDescent="0.3">
      <c r="A862" s="7"/>
      <c r="B862" s="1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75" customHeight="1" x14ac:dyDescent="0.3">
      <c r="A863" s="7"/>
      <c r="B863" s="1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75" customHeight="1" x14ac:dyDescent="0.3">
      <c r="A864" s="7"/>
      <c r="B864" s="1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75" customHeight="1" x14ac:dyDescent="0.3">
      <c r="A865" s="7"/>
      <c r="B865" s="1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75" customHeight="1" x14ac:dyDescent="0.3">
      <c r="A866" s="7"/>
      <c r="B866" s="1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75" customHeight="1" x14ac:dyDescent="0.3">
      <c r="A867" s="7"/>
      <c r="B867" s="1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75" customHeight="1" x14ac:dyDescent="0.3">
      <c r="A868" s="7"/>
      <c r="B868" s="1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75" customHeight="1" x14ac:dyDescent="0.3">
      <c r="A869" s="7"/>
      <c r="B869" s="1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75" customHeight="1" x14ac:dyDescent="0.3">
      <c r="A870" s="7"/>
      <c r="B870" s="1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75" customHeight="1" x14ac:dyDescent="0.3">
      <c r="A871" s="7"/>
      <c r="B871" s="1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75" customHeight="1" x14ac:dyDescent="0.3">
      <c r="A872" s="7"/>
      <c r="B872" s="1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75" customHeight="1" x14ac:dyDescent="0.3">
      <c r="A873" s="7"/>
      <c r="B873" s="1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75" customHeight="1" x14ac:dyDescent="0.3">
      <c r="A874" s="7"/>
      <c r="B874" s="1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75" customHeight="1" x14ac:dyDescent="0.3">
      <c r="A875" s="7"/>
      <c r="B875" s="1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75" customHeight="1" x14ac:dyDescent="0.3">
      <c r="A876" s="7"/>
      <c r="B876" s="1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75" customHeight="1" x14ac:dyDescent="0.3">
      <c r="A877" s="7"/>
      <c r="B877" s="1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75" customHeight="1" x14ac:dyDescent="0.3">
      <c r="A878" s="7"/>
      <c r="B878" s="1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75" customHeight="1" x14ac:dyDescent="0.3">
      <c r="A879" s="7"/>
      <c r="B879" s="1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75" customHeight="1" x14ac:dyDescent="0.3">
      <c r="A880" s="7"/>
      <c r="B880" s="1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75" customHeight="1" x14ac:dyDescent="0.3">
      <c r="A881" s="7"/>
      <c r="B881" s="1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75" customHeight="1" x14ac:dyDescent="0.3">
      <c r="A882" s="7"/>
      <c r="B882" s="1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75" customHeight="1" x14ac:dyDescent="0.3">
      <c r="A883" s="7"/>
      <c r="B883" s="1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75" customHeight="1" x14ac:dyDescent="0.3">
      <c r="A884" s="7"/>
      <c r="B884" s="1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75" customHeight="1" x14ac:dyDescent="0.3">
      <c r="A885" s="7"/>
      <c r="B885" s="1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75" customHeight="1" x14ac:dyDescent="0.3">
      <c r="A886" s="7"/>
      <c r="B886" s="1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75" customHeight="1" x14ac:dyDescent="0.3">
      <c r="A887" s="7"/>
      <c r="B887" s="1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75" customHeight="1" x14ac:dyDescent="0.3">
      <c r="A888" s="7"/>
      <c r="B888" s="1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75" customHeight="1" x14ac:dyDescent="0.3">
      <c r="A889" s="7"/>
      <c r="B889" s="1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75" customHeight="1" x14ac:dyDescent="0.3">
      <c r="A890" s="7"/>
      <c r="B890" s="1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75" customHeight="1" x14ac:dyDescent="0.3">
      <c r="A891" s="7"/>
      <c r="B891" s="1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75" customHeight="1" x14ac:dyDescent="0.3">
      <c r="A892" s="7"/>
      <c r="B892" s="1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75" customHeight="1" x14ac:dyDescent="0.3">
      <c r="A893" s="7"/>
      <c r="B893" s="1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75" customHeight="1" x14ac:dyDescent="0.3">
      <c r="A894" s="7"/>
      <c r="B894" s="1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75" customHeight="1" x14ac:dyDescent="0.3">
      <c r="A895" s="7"/>
      <c r="B895" s="1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75" customHeight="1" x14ac:dyDescent="0.3">
      <c r="A896" s="7"/>
      <c r="B896" s="1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75" customHeight="1" x14ac:dyDescent="0.3">
      <c r="A897" s="7"/>
      <c r="B897" s="1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75" customHeight="1" x14ac:dyDescent="0.3">
      <c r="A898" s="7"/>
      <c r="B898" s="1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75" customHeight="1" x14ac:dyDescent="0.3">
      <c r="A899" s="7"/>
      <c r="B899" s="1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75" customHeight="1" x14ac:dyDescent="0.3">
      <c r="A900" s="7"/>
      <c r="B900" s="1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75" customHeight="1" x14ac:dyDescent="0.3">
      <c r="A901" s="7"/>
      <c r="B901" s="1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75" customHeight="1" x14ac:dyDescent="0.3">
      <c r="A902" s="7"/>
      <c r="B902" s="1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75" customHeight="1" x14ac:dyDescent="0.3">
      <c r="A903" s="7"/>
      <c r="B903" s="1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75" customHeight="1" x14ac:dyDescent="0.3">
      <c r="A904" s="7"/>
      <c r="B904" s="1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75" customHeight="1" x14ac:dyDescent="0.3">
      <c r="A905" s="7"/>
      <c r="B905" s="1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75" customHeight="1" x14ac:dyDescent="0.3">
      <c r="A906" s="7"/>
      <c r="B906" s="1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75" customHeight="1" x14ac:dyDescent="0.3">
      <c r="A907" s="7"/>
      <c r="B907" s="1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75" customHeight="1" x14ac:dyDescent="0.3">
      <c r="A908" s="7"/>
      <c r="B908" s="1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75" customHeight="1" x14ac:dyDescent="0.3">
      <c r="A909" s="7"/>
      <c r="B909" s="1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75" customHeight="1" x14ac:dyDescent="0.3">
      <c r="A910" s="7"/>
      <c r="B910" s="1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75" customHeight="1" x14ac:dyDescent="0.3">
      <c r="A911" s="7"/>
      <c r="B911" s="1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75" customHeight="1" x14ac:dyDescent="0.3">
      <c r="A912" s="7"/>
      <c r="B912" s="1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75" customHeight="1" x14ac:dyDescent="0.3">
      <c r="A913" s="7"/>
      <c r="B913" s="1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75" customHeight="1" x14ac:dyDescent="0.3">
      <c r="A914" s="7"/>
      <c r="B914" s="1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75" customHeight="1" x14ac:dyDescent="0.3">
      <c r="A915" s="7"/>
      <c r="B915" s="1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75" customHeight="1" x14ac:dyDescent="0.3">
      <c r="A916" s="7"/>
      <c r="B916" s="1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75" customHeight="1" x14ac:dyDescent="0.3">
      <c r="A917" s="7"/>
      <c r="B917" s="1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75" customHeight="1" x14ac:dyDescent="0.3">
      <c r="A918" s="7"/>
      <c r="B918" s="1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75" customHeight="1" x14ac:dyDescent="0.3">
      <c r="A919" s="7"/>
      <c r="B919" s="1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75" customHeight="1" x14ac:dyDescent="0.3">
      <c r="A920" s="7"/>
      <c r="B920" s="1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75" customHeight="1" x14ac:dyDescent="0.3">
      <c r="A921" s="7"/>
      <c r="B921" s="1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75" customHeight="1" x14ac:dyDescent="0.3">
      <c r="A922" s="7"/>
      <c r="B922" s="1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75" customHeight="1" x14ac:dyDescent="0.3">
      <c r="A923" s="7"/>
      <c r="B923" s="1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75" customHeight="1" x14ac:dyDescent="0.3">
      <c r="A924" s="7"/>
      <c r="B924" s="1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75" customHeight="1" x14ac:dyDescent="0.3">
      <c r="A925" s="7"/>
      <c r="B925" s="1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75" customHeight="1" x14ac:dyDescent="0.3">
      <c r="A926" s="7"/>
      <c r="B926" s="1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75" customHeight="1" x14ac:dyDescent="0.3">
      <c r="A927" s="7"/>
      <c r="B927" s="1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75" customHeight="1" x14ac:dyDescent="0.3">
      <c r="A928" s="7"/>
      <c r="B928" s="1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75" customHeight="1" x14ac:dyDescent="0.3">
      <c r="A929" s="7"/>
      <c r="B929" s="1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75" customHeight="1" x14ac:dyDescent="0.3">
      <c r="A930" s="7"/>
      <c r="B930" s="1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75" customHeight="1" x14ac:dyDescent="0.3">
      <c r="A931" s="7"/>
      <c r="B931" s="1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75" customHeight="1" x14ac:dyDescent="0.3">
      <c r="A932" s="7"/>
      <c r="B932" s="1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75" customHeight="1" x14ac:dyDescent="0.3">
      <c r="A933" s="7"/>
      <c r="B933" s="1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75" customHeight="1" x14ac:dyDescent="0.3">
      <c r="A934" s="7"/>
      <c r="B934" s="1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75" customHeight="1" x14ac:dyDescent="0.3">
      <c r="A935" s="7"/>
      <c r="B935" s="1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75" customHeight="1" x14ac:dyDescent="0.3">
      <c r="A936" s="7"/>
      <c r="B936" s="1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75" customHeight="1" x14ac:dyDescent="0.3">
      <c r="A937" s="7"/>
      <c r="B937" s="1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75" customHeight="1" x14ac:dyDescent="0.3">
      <c r="A938" s="7"/>
      <c r="B938" s="1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75" customHeight="1" x14ac:dyDescent="0.3">
      <c r="A939" s="7"/>
      <c r="B939" s="1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75" customHeight="1" x14ac:dyDescent="0.3">
      <c r="A940" s="7"/>
      <c r="B940" s="1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75" customHeight="1" x14ac:dyDescent="0.3">
      <c r="A941" s="7"/>
      <c r="B941" s="1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75" customHeight="1" x14ac:dyDescent="0.3">
      <c r="A942" s="7"/>
      <c r="B942" s="1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75" customHeight="1" x14ac:dyDescent="0.3">
      <c r="A943" s="7"/>
      <c r="B943" s="1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75" customHeight="1" x14ac:dyDescent="0.3">
      <c r="A944" s="7"/>
      <c r="B944" s="1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75" customHeight="1" x14ac:dyDescent="0.3">
      <c r="A945" s="7"/>
      <c r="B945" s="1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75" customHeight="1" x14ac:dyDescent="0.3">
      <c r="A946" s="7"/>
      <c r="B946" s="1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75" customHeight="1" x14ac:dyDescent="0.3">
      <c r="A947" s="7"/>
      <c r="B947" s="1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75" customHeight="1" x14ac:dyDescent="0.3">
      <c r="A948" s="7"/>
      <c r="B948" s="1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75" customHeight="1" x14ac:dyDescent="0.3">
      <c r="A949" s="7"/>
      <c r="B949" s="1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75" customHeight="1" x14ac:dyDescent="0.3">
      <c r="A950" s="7"/>
      <c r="B950" s="1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75" customHeight="1" x14ac:dyDescent="0.3">
      <c r="A951" s="7"/>
      <c r="B951" s="1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75" customHeight="1" x14ac:dyDescent="0.3">
      <c r="A952" s="7"/>
      <c r="B952" s="1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75" customHeight="1" x14ac:dyDescent="0.3">
      <c r="A953" s="7"/>
      <c r="B953" s="1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75" customHeight="1" x14ac:dyDescent="0.3">
      <c r="A954" s="7"/>
      <c r="B954" s="1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75" customHeight="1" x14ac:dyDescent="0.3">
      <c r="A955" s="7"/>
      <c r="B955" s="1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75" customHeight="1" x14ac:dyDescent="0.3">
      <c r="A956" s="7"/>
      <c r="B956" s="1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75" customHeight="1" x14ac:dyDescent="0.3">
      <c r="A957" s="7"/>
      <c r="B957" s="1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75" customHeight="1" x14ac:dyDescent="0.3">
      <c r="A958" s="7"/>
      <c r="B958" s="1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75" customHeight="1" x14ac:dyDescent="0.3">
      <c r="A959" s="7"/>
      <c r="B959" s="1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75" customHeight="1" x14ac:dyDescent="0.3">
      <c r="A960" s="7"/>
      <c r="B960" s="1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75" customHeight="1" x14ac:dyDescent="0.3">
      <c r="A961" s="7"/>
      <c r="B961" s="1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75" customHeight="1" x14ac:dyDescent="0.3">
      <c r="A962" s="7"/>
      <c r="B962" s="1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75" customHeight="1" x14ac:dyDescent="0.3">
      <c r="A963" s="7"/>
      <c r="B963" s="1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75" customHeight="1" x14ac:dyDescent="0.3">
      <c r="A964" s="7"/>
      <c r="B964" s="1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75" customHeight="1" x14ac:dyDescent="0.3">
      <c r="A965" s="7"/>
      <c r="B965" s="1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75" customHeight="1" x14ac:dyDescent="0.3">
      <c r="A966" s="7"/>
      <c r="B966" s="1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75" customHeight="1" x14ac:dyDescent="0.3">
      <c r="A967" s="7"/>
      <c r="B967" s="1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75" customHeight="1" x14ac:dyDescent="0.3">
      <c r="A968" s="7"/>
      <c r="B968" s="1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75" customHeight="1" x14ac:dyDescent="0.3">
      <c r="A969" s="7"/>
      <c r="B969" s="1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75" customHeight="1" x14ac:dyDescent="0.3">
      <c r="A970" s="7"/>
      <c r="B970" s="1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75" customHeight="1" x14ac:dyDescent="0.3">
      <c r="A971" s="7"/>
      <c r="B971" s="1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75" customHeight="1" x14ac:dyDescent="0.3">
      <c r="A972" s="7"/>
      <c r="B972" s="1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75" customHeight="1" x14ac:dyDescent="0.3">
      <c r="A973" s="7"/>
      <c r="B973" s="1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75" customHeight="1" x14ac:dyDescent="0.3">
      <c r="A974" s="7"/>
      <c r="B974" s="1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75" customHeight="1" x14ac:dyDescent="0.3">
      <c r="A975" s="7"/>
      <c r="B975" s="1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75" customHeight="1" x14ac:dyDescent="0.3">
      <c r="A976" s="7"/>
      <c r="B976" s="1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75" customHeight="1" x14ac:dyDescent="0.3">
      <c r="A977" s="7"/>
      <c r="B977" s="1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75" customHeight="1" x14ac:dyDescent="0.3">
      <c r="A978" s="7"/>
      <c r="B978" s="1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75" customHeight="1" x14ac:dyDescent="0.3">
      <c r="A979" s="7"/>
      <c r="B979" s="1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75" customHeight="1" x14ac:dyDescent="0.3">
      <c r="A980" s="7"/>
      <c r="B980" s="1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75" customHeight="1" x14ac:dyDescent="0.3">
      <c r="A981" s="7"/>
      <c r="B981" s="1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75" customHeight="1" x14ac:dyDescent="0.3">
      <c r="A982" s="7"/>
      <c r="B982" s="1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75" customHeight="1" x14ac:dyDescent="0.3">
      <c r="A983" s="7"/>
      <c r="B983" s="1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75" customHeight="1" x14ac:dyDescent="0.3">
      <c r="A984" s="7"/>
      <c r="B984" s="1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75" customHeight="1" x14ac:dyDescent="0.3">
      <c r="A985" s="7"/>
      <c r="B985" s="1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75" customHeight="1" x14ac:dyDescent="0.3">
      <c r="A986" s="7"/>
      <c r="B986" s="1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75" customHeight="1" x14ac:dyDescent="0.3">
      <c r="A987" s="7"/>
      <c r="B987" s="1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75" customHeight="1" x14ac:dyDescent="0.3">
      <c r="A988" s="7"/>
      <c r="B988" s="1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75" customHeight="1" x14ac:dyDescent="0.3">
      <c r="A989" s="7"/>
      <c r="B989" s="1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75" customHeight="1" x14ac:dyDescent="0.3">
      <c r="A990" s="7"/>
      <c r="B990" s="1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75" customHeight="1" x14ac:dyDescent="0.3">
      <c r="A991" s="7"/>
      <c r="B991" s="1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75" customHeight="1" x14ac:dyDescent="0.3">
      <c r="A992" s="7"/>
      <c r="B992" s="1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75" customHeight="1" x14ac:dyDescent="0.3">
      <c r="A993" s="7"/>
      <c r="B993" s="1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75" customHeight="1" x14ac:dyDescent="0.3">
      <c r="A994" s="7"/>
      <c r="B994" s="1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75" customHeight="1" x14ac:dyDescent="0.3">
      <c r="A995" s="7"/>
      <c r="B995" s="1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75" customHeight="1" x14ac:dyDescent="0.3">
      <c r="A996" s="7"/>
      <c r="B996" s="1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75" customHeight="1" x14ac:dyDescent="0.3">
      <c r="A997" s="7"/>
      <c r="B997" s="1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75" customHeight="1" x14ac:dyDescent="0.3">
      <c r="A998" s="7"/>
      <c r="B998" s="1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75" customHeight="1" x14ac:dyDescent="0.3">
      <c r="A999" s="7"/>
      <c r="B999" s="19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75" customHeight="1" x14ac:dyDescent="0.3">
      <c r="A1000" s="7"/>
      <c r="B1000" s="19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pageMargins left="0.7" right="0.7" top="0.75" bottom="0.75" header="0" footer="0"/>
  <pageSetup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workbookViewId="0">
      <selection activeCell="J9" sqref="J9"/>
    </sheetView>
  </sheetViews>
  <sheetFormatPr baseColWidth="10" defaultColWidth="12.59765625" defaultRowHeight="15" customHeight="1" x14ac:dyDescent="0.25"/>
  <cols>
    <col min="1" max="1" width="10.09765625" customWidth="1"/>
    <col min="2" max="2" width="18.19921875" customWidth="1"/>
    <col min="3" max="7" width="20" customWidth="1"/>
    <col min="8" max="8" width="29.5" bestFit="1" customWidth="1"/>
    <col min="9" max="28" width="10.09765625" customWidth="1"/>
  </cols>
  <sheetData>
    <row r="1" spans="1:28" ht="14.4" x14ac:dyDescent="0.3">
      <c r="A1" s="7"/>
      <c r="B1" s="19"/>
      <c r="C1" s="205" t="s">
        <v>47</v>
      </c>
      <c r="D1" s="205" t="s">
        <v>47</v>
      </c>
      <c r="E1" s="205" t="s">
        <v>47</v>
      </c>
      <c r="F1" s="205" t="s">
        <v>47</v>
      </c>
      <c r="G1" s="205" t="s">
        <v>47</v>
      </c>
      <c r="H1" s="205" t="s">
        <v>47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" customHeight="1" x14ac:dyDescent="0.25">
      <c r="A2" s="14"/>
      <c r="B2" s="33" t="s">
        <v>280</v>
      </c>
      <c r="C2" s="48">
        <v>20</v>
      </c>
      <c r="D2" s="48">
        <v>21</v>
      </c>
      <c r="E2" s="48">
        <v>22</v>
      </c>
      <c r="F2" s="48">
        <v>23</v>
      </c>
      <c r="G2" s="48">
        <v>24</v>
      </c>
      <c r="H2" s="48">
        <v>25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28.8" x14ac:dyDescent="0.25">
      <c r="A3" s="14"/>
      <c r="B3" s="32" t="s">
        <v>281</v>
      </c>
      <c r="C3" s="202" t="s">
        <v>64</v>
      </c>
      <c r="D3" s="211" t="s">
        <v>487</v>
      </c>
      <c r="E3" s="204" t="s">
        <v>65</v>
      </c>
      <c r="F3" s="202" t="s">
        <v>488</v>
      </c>
      <c r="G3" s="202" t="s">
        <v>452</v>
      </c>
      <c r="H3" s="204" t="s">
        <v>489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30" customHeight="1" x14ac:dyDescent="0.25">
      <c r="A4" s="8"/>
      <c r="B4" s="16" t="s">
        <v>79</v>
      </c>
      <c r="C4" s="182" t="s">
        <v>520</v>
      </c>
      <c r="D4" s="182" t="s">
        <v>516</v>
      </c>
      <c r="E4" s="182" t="s">
        <v>517</v>
      </c>
      <c r="F4" s="182" t="s">
        <v>451</v>
      </c>
      <c r="G4" s="182" t="s">
        <v>85</v>
      </c>
      <c r="H4" s="182" t="s">
        <v>519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60" customHeight="1" x14ac:dyDescent="0.25">
      <c r="A5" s="8"/>
      <c r="B5" s="16" t="s">
        <v>339</v>
      </c>
      <c r="C5" s="138" t="s">
        <v>522</v>
      </c>
      <c r="D5" s="223" t="s">
        <v>521</v>
      </c>
      <c r="E5" s="182" t="s">
        <v>93</v>
      </c>
      <c r="F5" s="182" t="s">
        <v>94</v>
      </c>
      <c r="G5" s="223" t="s">
        <v>474</v>
      </c>
      <c r="H5" s="138" t="s">
        <v>453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30" customHeight="1" x14ac:dyDescent="0.25">
      <c r="A6" s="8"/>
      <c r="B6" s="16" t="s">
        <v>340</v>
      </c>
      <c r="C6" s="182" t="s">
        <v>106</v>
      </c>
      <c r="D6" s="138" t="s">
        <v>523</v>
      </c>
      <c r="E6" s="182" t="s">
        <v>518</v>
      </c>
      <c r="F6" s="182" t="s">
        <v>106</v>
      </c>
      <c r="G6" s="182" t="s">
        <v>106</v>
      </c>
      <c r="H6" s="182" t="s">
        <v>106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30" customHeight="1" x14ac:dyDescent="0.25">
      <c r="A7" s="50"/>
      <c r="B7" s="50" t="s">
        <v>108</v>
      </c>
      <c r="C7" s="50" t="s">
        <v>121</v>
      </c>
      <c r="D7" s="50" t="s">
        <v>120</v>
      </c>
      <c r="E7" s="50" t="s">
        <v>115</v>
      </c>
      <c r="F7" s="50" t="s">
        <v>122</v>
      </c>
      <c r="G7" s="50" t="s">
        <v>531</v>
      </c>
      <c r="H7" s="50" t="s">
        <v>123</v>
      </c>
      <c r="I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spans="1:28" ht="30" customHeight="1" x14ac:dyDescent="0.25">
      <c r="A8" s="53"/>
      <c r="B8" s="53" t="s">
        <v>126</v>
      </c>
      <c r="C8" s="53" t="s">
        <v>128</v>
      </c>
      <c r="D8" s="53" t="s">
        <v>447</v>
      </c>
      <c r="E8" s="53" t="s">
        <v>135</v>
      </c>
      <c r="F8" s="53" t="s">
        <v>136</v>
      </c>
      <c r="G8" s="53" t="s">
        <v>532</v>
      </c>
      <c r="H8" s="53" t="s">
        <v>128</v>
      </c>
      <c r="I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spans="1:28" ht="30" customHeight="1" x14ac:dyDescent="0.25">
      <c r="A9" s="56"/>
      <c r="B9" s="56" t="s">
        <v>141</v>
      </c>
      <c r="C9" s="56" t="s">
        <v>155</v>
      </c>
      <c r="D9" s="56" t="s">
        <v>448</v>
      </c>
      <c r="E9" s="56" t="s">
        <v>150</v>
      </c>
      <c r="F9" s="56" t="s">
        <v>156</v>
      </c>
      <c r="G9" s="56" t="s">
        <v>548</v>
      </c>
      <c r="H9" s="56" t="s">
        <v>154</v>
      </c>
      <c r="I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spans="1:28" ht="30" customHeight="1" x14ac:dyDescent="0.25">
      <c r="A10" s="59"/>
      <c r="B10" s="59" t="s">
        <v>161</v>
      </c>
      <c r="C10" s="59" t="s">
        <v>128</v>
      </c>
      <c r="D10" s="59" t="s">
        <v>449</v>
      </c>
      <c r="E10" s="59" t="s">
        <v>164</v>
      </c>
      <c r="F10" s="59" t="s">
        <v>169</v>
      </c>
      <c r="G10" s="59" t="s">
        <v>533</v>
      </c>
      <c r="H10" s="59" t="s">
        <v>128</v>
      </c>
      <c r="I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spans="1:28" ht="30" customHeight="1" x14ac:dyDescent="0.25">
      <c r="A11" s="61"/>
      <c r="B11" s="61" t="s">
        <v>174</v>
      </c>
      <c r="C11" s="61" t="s">
        <v>190</v>
      </c>
      <c r="D11" s="61" t="s">
        <v>524</v>
      </c>
      <c r="E11" s="61" t="s">
        <v>184</v>
      </c>
      <c r="F11" s="61" t="s">
        <v>191</v>
      </c>
      <c r="G11" s="61" t="s">
        <v>534</v>
      </c>
      <c r="H11" s="61" t="s">
        <v>192</v>
      </c>
      <c r="I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spans="1:28" ht="14.4" x14ac:dyDescent="0.25">
      <c r="A12" s="14"/>
      <c r="B12" s="32"/>
      <c r="C12" s="48" t="s">
        <v>64</v>
      </c>
      <c r="D12" s="48" t="s">
        <v>65</v>
      </c>
      <c r="E12" s="48" t="s">
        <v>66</v>
      </c>
      <c r="F12" s="48" t="s">
        <v>67</v>
      </c>
      <c r="G12" s="48" t="s">
        <v>68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14.4" x14ac:dyDescent="0.3">
      <c r="A13" s="7"/>
      <c r="B13" s="19" t="s">
        <v>283</v>
      </c>
      <c r="C13" s="7" t="e">
        <f>'Grille de métriques'!W12</f>
        <v>#NUM!</v>
      </c>
      <c r="D13" s="7" t="e">
        <f>'Grille de métriques'!X12</f>
        <v>#NUM!</v>
      </c>
      <c r="E13" s="7" t="e">
        <f>'Grille de métriques'!Y12</f>
        <v>#NUM!</v>
      </c>
      <c r="F13" s="7" t="e">
        <f>'Grille de métriques'!Z12</f>
        <v>#NUM!</v>
      </c>
      <c r="G13" s="7" t="e">
        <f>'Grille de métriques'!AA12</f>
        <v>#NUM!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4.4" x14ac:dyDescent="0.3">
      <c r="A14" s="7"/>
      <c r="B14" s="19" t="s">
        <v>285</v>
      </c>
      <c r="C14" s="7" t="e">
        <f>'Grille de métriques'!W20</f>
        <v>#NUM!</v>
      </c>
      <c r="D14" s="7" t="e">
        <f>'Grille de métriques'!X20</f>
        <v>#NUM!</v>
      </c>
      <c r="E14" s="7" t="e">
        <f>'Grille de métriques'!Y20</f>
        <v>#NUM!</v>
      </c>
      <c r="F14" s="7" t="e">
        <f>'Grille de métriques'!Z20</f>
        <v>#NUM!</v>
      </c>
      <c r="G14" s="7" t="e">
        <f>'Grille de métriques'!AA20</f>
        <v>#NUM!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4.4" x14ac:dyDescent="0.3">
      <c r="A15" s="7"/>
      <c r="B15" s="19" t="s">
        <v>286</v>
      </c>
      <c r="C15" s="7" t="e">
        <f>'Grille de métriques'!W28</f>
        <v>#NUM!</v>
      </c>
      <c r="D15" s="7" t="e">
        <f>'Grille de métriques'!X28</f>
        <v>#NUM!</v>
      </c>
      <c r="E15" s="7" t="e">
        <f>'Grille de métriques'!Y28</f>
        <v>#NUM!</v>
      </c>
      <c r="F15" s="7" t="e">
        <f>'Grille de métriques'!Z28</f>
        <v>#NUM!</v>
      </c>
      <c r="G15" s="7" t="e">
        <f>'Grille de métriques'!AA28</f>
        <v>#NUM!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4.4" x14ac:dyDescent="0.3">
      <c r="A16" s="7"/>
      <c r="B16" s="19" t="s">
        <v>288</v>
      </c>
      <c r="C16" s="7" t="e">
        <f>'Grille de métriques'!W36</f>
        <v>#NUM!</v>
      </c>
      <c r="D16" s="7" t="e">
        <f>'Grille de métriques'!X36</f>
        <v>#NUM!</v>
      </c>
      <c r="E16" s="7" t="e">
        <f>'Grille de métriques'!Y36</f>
        <v>#NUM!</v>
      </c>
      <c r="F16" s="7" t="e">
        <f>'Grille de métriques'!Z36</f>
        <v>#NUM!</v>
      </c>
      <c r="G16" s="7" t="e">
        <f>'Grille de métriques'!AA36</f>
        <v>#NUM!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4.4" x14ac:dyDescent="0.3">
      <c r="A17" s="7"/>
      <c r="B17" s="19" t="s">
        <v>289</v>
      </c>
      <c r="C17" s="7" t="e">
        <f>'Grille de métriques'!W44</f>
        <v>#NUM!</v>
      </c>
      <c r="D17" s="7" t="e">
        <f>'Grille de métriques'!X44</f>
        <v>#NUM!</v>
      </c>
      <c r="E17" s="7" t="e">
        <f>'Grille de métriques'!Y44</f>
        <v>#NUM!</v>
      </c>
      <c r="F17" s="7" t="e">
        <f>'Grille de métriques'!Z44</f>
        <v>#NUM!</v>
      </c>
      <c r="G17" s="7" t="e">
        <f>'Grille de métriques'!AA44</f>
        <v>#NUM!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4.4" x14ac:dyDescent="0.3">
      <c r="A18" s="7"/>
      <c r="B18" s="19" t="s">
        <v>329</v>
      </c>
      <c r="C18" s="7">
        <f>'Grille de métriques'!W87</f>
        <v>0</v>
      </c>
      <c r="D18" s="7">
        <f>'Grille de métriques'!X87</f>
        <v>0</v>
      </c>
      <c r="E18" s="7">
        <f>'Grille de métriques'!Y87</f>
        <v>0</v>
      </c>
      <c r="F18" s="7">
        <f>'Grille de métriques'!Z87</f>
        <v>0</v>
      </c>
      <c r="G18" s="7">
        <f>'Grille de métriques'!AA87</f>
        <v>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4.4" x14ac:dyDescent="0.25">
      <c r="A19" s="14"/>
      <c r="B19" s="32"/>
      <c r="C19" s="48" t="s">
        <v>64</v>
      </c>
      <c r="D19" s="48" t="s">
        <v>65</v>
      </c>
      <c r="E19" s="48" t="s">
        <v>66</v>
      </c>
      <c r="F19" s="48" t="s">
        <v>67</v>
      </c>
      <c r="G19" s="48" t="s">
        <v>68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4.4" x14ac:dyDescent="0.3">
      <c r="A20" s="7"/>
      <c r="B20" s="21" t="s">
        <v>25</v>
      </c>
      <c r="C20" s="7">
        <f>Formulaire!U13</f>
        <v>0</v>
      </c>
      <c r="D20" s="7">
        <f>Formulaire!V13</f>
        <v>0</v>
      </c>
      <c r="E20" s="7">
        <f>Formulaire!W13</f>
        <v>0</v>
      </c>
      <c r="F20" s="7">
        <f>Formulaire!X13</f>
        <v>0</v>
      </c>
      <c r="G20" s="7">
        <f>Formulaire!Y13</f>
        <v>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3">
      <c r="A21" s="7"/>
      <c r="B21" s="21" t="s">
        <v>35</v>
      </c>
      <c r="C21" s="7">
        <f>Formulaire!U15</f>
        <v>0</v>
      </c>
      <c r="D21" s="7">
        <f>Formulaire!V15</f>
        <v>0</v>
      </c>
      <c r="E21" s="7">
        <f>Formulaire!W15</f>
        <v>0</v>
      </c>
      <c r="F21" s="7">
        <f>Formulaire!X15</f>
        <v>0</v>
      </c>
      <c r="G21" s="7">
        <f>Formulaire!Y15</f>
        <v>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 x14ac:dyDescent="0.3">
      <c r="A22" s="7"/>
      <c r="B22" s="21" t="s">
        <v>291</v>
      </c>
      <c r="C22" s="7">
        <f>Formulaire!U17</f>
        <v>0</v>
      </c>
      <c r="D22" s="7">
        <f>Formulaire!V17</f>
        <v>0</v>
      </c>
      <c r="E22" s="7">
        <f>Formulaire!W17</f>
        <v>0</v>
      </c>
      <c r="F22" s="7">
        <f>Formulaire!X17</f>
        <v>0</v>
      </c>
      <c r="G22" s="7">
        <f>Formulaire!Y17</f>
        <v>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 x14ac:dyDescent="0.3">
      <c r="A23" s="7"/>
      <c r="B23" s="21" t="s">
        <v>292</v>
      </c>
      <c r="C23" s="7">
        <f>Formulaire!U19</f>
        <v>0</v>
      </c>
      <c r="D23" s="7">
        <f>Formulaire!V19</f>
        <v>0</v>
      </c>
      <c r="E23" s="7">
        <f>Formulaire!W19</f>
        <v>0</v>
      </c>
      <c r="F23" s="7">
        <f>Formulaire!X19</f>
        <v>0</v>
      </c>
      <c r="G23" s="7">
        <f>Formulaire!Y19</f>
        <v>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 x14ac:dyDescent="0.3">
      <c r="A24" s="7"/>
      <c r="B24" s="21" t="s">
        <v>293</v>
      </c>
      <c r="C24" s="7">
        <f>Formulaire!U21</f>
        <v>0</v>
      </c>
      <c r="D24" s="7">
        <f>Formulaire!V21</f>
        <v>0</v>
      </c>
      <c r="E24" s="7">
        <f>Formulaire!W21</f>
        <v>0</v>
      </c>
      <c r="F24" s="7">
        <f>Formulaire!X21</f>
        <v>0</v>
      </c>
      <c r="G24" s="7">
        <f>Formulaire!Y21</f>
        <v>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 x14ac:dyDescent="0.3">
      <c r="A25" s="7"/>
      <c r="B25" s="21" t="s">
        <v>294</v>
      </c>
      <c r="C25" s="7">
        <f>Formulaire!U23</f>
        <v>0</v>
      </c>
      <c r="D25" s="7">
        <f>Formulaire!V23</f>
        <v>0</v>
      </c>
      <c r="E25" s="7">
        <f>Formulaire!W23</f>
        <v>0</v>
      </c>
      <c r="F25" s="7">
        <f>Formulaire!X23</f>
        <v>0</v>
      </c>
      <c r="G25" s="7">
        <f>Formulaire!Y23</f>
        <v>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 x14ac:dyDescent="0.3">
      <c r="A26" s="7"/>
      <c r="B26" s="21" t="s">
        <v>295</v>
      </c>
      <c r="C26" s="7">
        <f>Formulaire!U25</f>
        <v>0</v>
      </c>
      <c r="D26" s="7">
        <f>Formulaire!V25</f>
        <v>0</v>
      </c>
      <c r="E26" s="7">
        <f>Formulaire!W25</f>
        <v>0</v>
      </c>
      <c r="F26" s="7">
        <f>Formulaire!X25</f>
        <v>0</v>
      </c>
      <c r="G26" s="7">
        <f>Formulaire!Y25</f>
        <v>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 x14ac:dyDescent="0.3">
      <c r="A27" s="7"/>
      <c r="B27" s="21" t="s">
        <v>296</v>
      </c>
      <c r="C27" s="7">
        <f>Formulaire!U27</f>
        <v>0</v>
      </c>
      <c r="D27" s="7">
        <f>Formulaire!V27</f>
        <v>0</v>
      </c>
      <c r="E27" s="7">
        <f>Formulaire!W27</f>
        <v>0</v>
      </c>
      <c r="F27" s="7">
        <f>Formulaire!X27</f>
        <v>0</v>
      </c>
      <c r="G27" s="7">
        <f>Formulaire!Y27</f>
        <v>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3">
      <c r="A28" s="7"/>
      <c r="B28" s="21" t="s">
        <v>297</v>
      </c>
      <c r="C28" s="7">
        <f>Formulaire!U29</f>
        <v>0</v>
      </c>
      <c r="D28" s="7">
        <f>Formulaire!V29</f>
        <v>0</v>
      </c>
      <c r="E28" s="7">
        <f>Formulaire!W29</f>
        <v>0</v>
      </c>
      <c r="F28" s="7">
        <f>Formulaire!X29</f>
        <v>0</v>
      </c>
      <c r="G28" s="7">
        <f>Formulaire!Y29</f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7"/>
      <c r="B29" s="21" t="s">
        <v>298</v>
      </c>
      <c r="C29" s="7">
        <f>Formulaire!U31</f>
        <v>0</v>
      </c>
      <c r="D29" s="7">
        <f>Formulaire!V31</f>
        <v>0</v>
      </c>
      <c r="E29" s="7">
        <f>Formulaire!W31</f>
        <v>0</v>
      </c>
      <c r="F29" s="7">
        <f>Formulaire!X31</f>
        <v>0</v>
      </c>
      <c r="G29" s="7">
        <f>Formulaire!Y31</f>
        <v>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3">
      <c r="A30" s="7"/>
      <c r="B30" s="21" t="s">
        <v>299</v>
      </c>
      <c r="C30" s="7">
        <f>Formulaire!U33</f>
        <v>0</v>
      </c>
      <c r="D30" s="7">
        <f>Formulaire!V33</f>
        <v>0</v>
      </c>
      <c r="E30" s="7">
        <f>Formulaire!W33</f>
        <v>0</v>
      </c>
      <c r="F30" s="7">
        <f>Formulaire!X33</f>
        <v>0</v>
      </c>
      <c r="G30" s="7">
        <f>Formulaire!Y33</f>
        <v>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3">
      <c r="A31" s="7"/>
      <c r="B31" s="21" t="s">
        <v>300</v>
      </c>
      <c r="C31" s="7">
        <f>Formulaire!U35</f>
        <v>0</v>
      </c>
      <c r="D31" s="7">
        <f>Formulaire!V35</f>
        <v>0</v>
      </c>
      <c r="E31" s="7">
        <f>Formulaire!W35</f>
        <v>0</v>
      </c>
      <c r="F31" s="7">
        <f>Formulaire!X35</f>
        <v>0</v>
      </c>
      <c r="G31" s="7">
        <f>Formulaire!Y35</f>
        <v>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3">
      <c r="A32" s="7"/>
      <c r="B32" s="21" t="s">
        <v>301</v>
      </c>
      <c r="C32" s="7">
        <f>Formulaire!U37</f>
        <v>0</v>
      </c>
      <c r="D32" s="7">
        <f>Formulaire!V37</f>
        <v>0</v>
      </c>
      <c r="E32" s="7">
        <f>Formulaire!W37</f>
        <v>0</v>
      </c>
      <c r="F32" s="7">
        <f>Formulaire!X37</f>
        <v>0</v>
      </c>
      <c r="G32" s="7">
        <f>Formulaire!Y37</f>
        <v>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 x14ac:dyDescent="0.3">
      <c r="A33" s="7"/>
      <c r="B33" s="21" t="s">
        <v>302</v>
      </c>
      <c r="C33" s="7">
        <f>Formulaire!U39</f>
        <v>0</v>
      </c>
      <c r="D33" s="7">
        <f>Formulaire!V39</f>
        <v>0</v>
      </c>
      <c r="E33" s="7">
        <f>Formulaire!W39</f>
        <v>0</v>
      </c>
      <c r="F33" s="7">
        <f>Formulaire!X39</f>
        <v>0</v>
      </c>
      <c r="G33" s="7">
        <f>Formulaire!Y39</f>
        <v>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 x14ac:dyDescent="0.3">
      <c r="A34" s="7"/>
      <c r="B34" s="21" t="s">
        <v>303</v>
      </c>
      <c r="C34" s="7">
        <f>Formulaire!U41</f>
        <v>0</v>
      </c>
      <c r="D34" s="7">
        <f>Formulaire!V41</f>
        <v>0</v>
      </c>
      <c r="E34" s="7">
        <f>Formulaire!W41</f>
        <v>0</v>
      </c>
      <c r="F34" s="7">
        <f>Formulaire!X41</f>
        <v>0</v>
      </c>
      <c r="G34" s="7">
        <f>Formulaire!Y41</f>
        <v>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 x14ac:dyDescent="0.3">
      <c r="A35" s="7"/>
      <c r="B35" s="21" t="s">
        <v>304</v>
      </c>
      <c r="C35" s="7">
        <f>Formulaire!U43</f>
        <v>0</v>
      </c>
      <c r="D35" s="7">
        <f>Formulaire!V43</f>
        <v>0</v>
      </c>
      <c r="E35" s="7">
        <f>Formulaire!W43</f>
        <v>0</v>
      </c>
      <c r="F35" s="7">
        <f>Formulaire!X43</f>
        <v>0</v>
      </c>
      <c r="G35" s="7">
        <f>Formulaire!Y43</f>
        <v>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 x14ac:dyDescent="0.3">
      <c r="A36" s="7"/>
      <c r="B36" s="21" t="s">
        <v>305</v>
      </c>
      <c r="C36" s="7">
        <f>Formulaire!U45</f>
        <v>0</v>
      </c>
      <c r="D36" s="7">
        <f>Formulaire!V45</f>
        <v>0</v>
      </c>
      <c r="E36" s="7">
        <f>Formulaire!W45</f>
        <v>0</v>
      </c>
      <c r="F36" s="7">
        <f>Formulaire!X45</f>
        <v>0</v>
      </c>
      <c r="G36" s="7">
        <f>Formulaire!Y45</f>
        <v>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 x14ac:dyDescent="0.3">
      <c r="A37" s="7"/>
      <c r="B37" s="21" t="s">
        <v>306</v>
      </c>
      <c r="C37" s="7">
        <f>Formulaire!U47</f>
        <v>0</v>
      </c>
      <c r="D37" s="7">
        <f>Formulaire!V47</f>
        <v>0</v>
      </c>
      <c r="E37" s="7">
        <f>Formulaire!W47</f>
        <v>0</v>
      </c>
      <c r="F37" s="7">
        <f>Formulaire!X47</f>
        <v>0</v>
      </c>
      <c r="G37" s="7">
        <f>Formulaire!Y47</f>
        <v>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 x14ac:dyDescent="0.3">
      <c r="A38" s="7"/>
      <c r="B38" s="21" t="s">
        <v>307</v>
      </c>
      <c r="C38" s="7">
        <f>Formulaire!U49</f>
        <v>0</v>
      </c>
      <c r="D38" s="7">
        <f>Formulaire!V49</f>
        <v>0</v>
      </c>
      <c r="E38" s="7">
        <f>Formulaire!W49</f>
        <v>0</v>
      </c>
      <c r="F38" s="7">
        <f>Formulaire!X49</f>
        <v>0</v>
      </c>
      <c r="G38" s="7">
        <f>Formulaire!Y49</f>
        <v>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 x14ac:dyDescent="0.3">
      <c r="A39" s="7"/>
      <c r="B39" s="21" t="s">
        <v>308</v>
      </c>
      <c r="C39" s="7">
        <f>Formulaire!U51</f>
        <v>0</v>
      </c>
      <c r="D39" s="7">
        <f>Formulaire!V51</f>
        <v>0</v>
      </c>
      <c r="E39" s="7">
        <f>Formulaire!W51</f>
        <v>0</v>
      </c>
      <c r="F39" s="7">
        <f>Formulaire!X51</f>
        <v>0</v>
      </c>
      <c r="G39" s="7">
        <f>Formulaire!Y51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 x14ac:dyDescent="0.3">
      <c r="A40" s="7"/>
      <c r="B40" s="21" t="s">
        <v>309</v>
      </c>
      <c r="C40" s="7">
        <f>Formulaire!U53</f>
        <v>0</v>
      </c>
      <c r="D40" s="7">
        <f>Formulaire!V53</f>
        <v>0</v>
      </c>
      <c r="E40" s="7">
        <f>Formulaire!W53</f>
        <v>0</v>
      </c>
      <c r="F40" s="7">
        <f>Formulaire!X53</f>
        <v>0</v>
      </c>
      <c r="G40" s="7">
        <f>Formulaire!Y53</f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 x14ac:dyDescent="0.3">
      <c r="A41" s="7"/>
      <c r="B41" s="21" t="s">
        <v>310</v>
      </c>
      <c r="C41" s="7">
        <f>Formulaire!U55</f>
        <v>0</v>
      </c>
      <c r="D41" s="7">
        <f>Formulaire!V55</f>
        <v>0</v>
      </c>
      <c r="E41" s="7">
        <f>Formulaire!W55</f>
        <v>0</v>
      </c>
      <c r="F41" s="7">
        <f>Formulaire!X55</f>
        <v>0</v>
      </c>
      <c r="G41" s="7">
        <f>Formulaire!Y55</f>
        <v>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 x14ac:dyDescent="0.3">
      <c r="A42" s="7"/>
      <c r="B42" s="21" t="s">
        <v>311</v>
      </c>
      <c r="C42" s="7">
        <f>Formulaire!U57</f>
        <v>0</v>
      </c>
      <c r="D42" s="7">
        <f>Formulaire!V57</f>
        <v>0</v>
      </c>
      <c r="E42" s="7">
        <f>Formulaire!W57</f>
        <v>0</v>
      </c>
      <c r="F42" s="7">
        <f>Formulaire!X57</f>
        <v>0</v>
      </c>
      <c r="G42" s="7">
        <f>Formulaire!Y57</f>
        <v>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 x14ac:dyDescent="0.3">
      <c r="A43" s="7"/>
      <c r="B43" s="21" t="s">
        <v>312</v>
      </c>
      <c r="C43" s="7">
        <f>Formulaire!U59</f>
        <v>0</v>
      </c>
      <c r="D43" s="7">
        <f>Formulaire!V59</f>
        <v>0</v>
      </c>
      <c r="E43" s="7">
        <f>Formulaire!W59</f>
        <v>0</v>
      </c>
      <c r="F43" s="7">
        <f>Formulaire!X59</f>
        <v>0</v>
      </c>
      <c r="G43" s="7">
        <f>Formulaire!Y59</f>
        <v>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 x14ac:dyDescent="0.3">
      <c r="A44" s="7"/>
      <c r="B44" s="21" t="s">
        <v>313</v>
      </c>
      <c r="C44" s="7">
        <f>Formulaire!U61</f>
        <v>0</v>
      </c>
      <c r="D44" s="7">
        <f>Formulaire!V61</f>
        <v>0</v>
      </c>
      <c r="E44" s="7">
        <f>Formulaire!W61</f>
        <v>0</v>
      </c>
      <c r="F44" s="7">
        <f>Formulaire!X61</f>
        <v>0</v>
      </c>
      <c r="G44" s="7">
        <f>Formulaire!Y61</f>
        <v>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 x14ac:dyDescent="0.3">
      <c r="A45" s="7"/>
      <c r="B45" s="21" t="s">
        <v>314</v>
      </c>
      <c r="C45" s="7">
        <f>Formulaire!U63</f>
        <v>0</v>
      </c>
      <c r="D45" s="7">
        <f>Formulaire!V63</f>
        <v>0</v>
      </c>
      <c r="E45" s="7">
        <f>Formulaire!W63</f>
        <v>0</v>
      </c>
      <c r="F45" s="7">
        <f>Formulaire!X63</f>
        <v>0</v>
      </c>
      <c r="G45" s="7">
        <f>Formulaire!Y63</f>
        <v>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3">
      <c r="A46" s="7"/>
      <c r="B46" s="21" t="s">
        <v>315</v>
      </c>
      <c r="C46" s="7">
        <f>Formulaire!U65</f>
        <v>0</v>
      </c>
      <c r="D46" s="7">
        <f>Formulaire!V65</f>
        <v>0</v>
      </c>
      <c r="E46" s="7">
        <f>Formulaire!W65</f>
        <v>0</v>
      </c>
      <c r="F46" s="7">
        <f>Formulaire!X65</f>
        <v>0</v>
      </c>
      <c r="G46" s="7">
        <f>Formulaire!Y65</f>
        <v>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 x14ac:dyDescent="0.3">
      <c r="A47" s="7"/>
      <c r="B47" s="21" t="s">
        <v>316</v>
      </c>
      <c r="C47" s="7">
        <f>Formulaire!U67</f>
        <v>0</v>
      </c>
      <c r="D47" s="7">
        <f>Formulaire!V67</f>
        <v>0</v>
      </c>
      <c r="E47" s="7">
        <f>Formulaire!W67</f>
        <v>0</v>
      </c>
      <c r="F47" s="7">
        <f>Formulaire!X67</f>
        <v>0</v>
      </c>
      <c r="G47" s="7">
        <f>Formulaire!Y67</f>
        <v>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 x14ac:dyDescent="0.3">
      <c r="A48" s="7"/>
      <c r="B48" s="21" t="s">
        <v>317</v>
      </c>
      <c r="C48" s="7">
        <f>Formulaire!U69</f>
        <v>0</v>
      </c>
      <c r="D48" s="7">
        <f>Formulaire!V69</f>
        <v>0</v>
      </c>
      <c r="E48" s="7">
        <f>Formulaire!W69</f>
        <v>0</v>
      </c>
      <c r="F48" s="7">
        <f>Formulaire!X69</f>
        <v>0</v>
      </c>
      <c r="G48" s="7">
        <f>Formulaire!Y69</f>
        <v>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 x14ac:dyDescent="0.3">
      <c r="A49" s="7"/>
      <c r="B49" s="21" t="s">
        <v>318</v>
      </c>
      <c r="C49" s="7">
        <f>Formulaire!U71</f>
        <v>0</v>
      </c>
      <c r="D49" s="7">
        <f>Formulaire!V71</f>
        <v>0</v>
      </c>
      <c r="E49" s="7">
        <f>Formulaire!W71</f>
        <v>0</v>
      </c>
      <c r="F49" s="7">
        <f>Formulaire!X71</f>
        <v>0</v>
      </c>
      <c r="G49" s="7">
        <f>Formulaire!Y71</f>
        <v>0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 x14ac:dyDescent="0.3">
      <c r="A50" s="7"/>
      <c r="B50" s="21" t="s">
        <v>319</v>
      </c>
      <c r="C50" s="7">
        <f>Formulaire!U73</f>
        <v>0</v>
      </c>
      <c r="D50" s="7">
        <f>Formulaire!V73</f>
        <v>0</v>
      </c>
      <c r="E50" s="7">
        <f>Formulaire!W73</f>
        <v>0</v>
      </c>
      <c r="F50" s="7">
        <f>Formulaire!X73</f>
        <v>0</v>
      </c>
      <c r="G50" s="7">
        <f>Formulaire!Y73</f>
        <v>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 x14ac:dyDescent="0.3">
      <c r="A51" s="7"/>
      <c r="B51" s="21" t="s">
        <v>320</v>
      </c>
      <c r="C51" s="7">
        <f>Formulaire!U75</f>
        <v>0</v>
      </c>
      <c r="D51" s="7">
        <f>Formulaire!V75</f>
        <v>0</v>
      </c>
      <c r="E51" s="7">
        <f>Formulaire!W75</f>
        <v>0</v>
      </c>
      <c r="F51" s="7">
        <f>Formulaire!X75</f>
        <v>0</v>
      </c>
      <c r="G51" s="7">
        <f>Formulaire!Y75</f>
        <v>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 x14ac:dyDescent="0.3">
      <c r="A52" s="7"/>
      <c r="B52" s="21" t="s">
        <v>321</v>
      </c>
      <c r="C52" s="7">
        <f>Formulaire!U77</f>
        <v>0</v>
      </c>
      <c r="D52" s="7">
        <f>Formulaire!V77</f>
        <v>0</v>
      </c>
      <c r="E52" s="7">
        <f>Formulaire!W77</f>
        <v>0</v>
      </c>
      <c r="F52" s="7">
        <f>Formulaire!X77</f>
        <v>0</v>
      </c>
      <c r="G52" s="7">
        <f>Formulaire!Y77</f>
        <v>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 x14ac:dyDescent="0.3">
      <c r="A53" s="7"/>
      <c r="B53" s="21" t="s">
        <v>322</v>
      </c>
      <c r="C53" s="7">
        <f>Formulaire!U79</f>
        <v>0</v>
      </c>
      <c r="D53" s="7">
        <f>Formulaire!V79</f>
        <v>0</v>
      </c>
      <c r="E53" s="7">
        <f>Formulaire!W79</f>
        <v>0</v>
      </c>
      <c r="F53" s="7">
        <f>Formulaire!X79</f>
        <v>0</v>
      </c>
      <c r="G53" s="7">
        <f>Formulaire!Y79</f>
        <v>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 x14ac:dyDescent="0.3">
      <c r="A54" s="7"/>
      <c r="B54" s="21" t="s">
        <v>323</v>
      </c>
      <c r="C54" s="7">
        <f>Formulaire!U81</f>
        <v>0</v>
      </c>
      <c r="D54" s="7">
        <f>Formulaire!V81</f>
        <v>0</v>
      </c>
      <c r="E54" s="7">
        <f>Formulaire!W81</f>
        <v>0</v>
      </c>
      <c r="F54" s="7">
        <f>Formulaire!X81</f>
        <v>0</v>
      </c>
      <c r="G54" s="7">
        <f>Formulaire!Y81</f>
        <v>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 x14ac:dyDescent="0.3">
      <c r="A55" s="7"/>
      <c r="B55" s="21" t="s">
        <v>324</v>
      </c>
      <c r="C55" s="7">
        <f>Formulaire!U83</f>
        <v>0</v>
      </c>
      <c r="D55" s="7">
        <f>Formulaire!V83</f>
        <v>0</v>
      </c>
      <c r="E55" s="7">
        <f>Formulaire!W83</f>
        <v>0</v>
      </c>
      <c r="F55" s="7">
        <f>Formulaire!X83</f>
        <v>0</v>
      </c>
      <c r="G55" s="7">
        <f>Formulaire!Y83</f>
        <v>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 x14ac:dyDescent="0.3">
      <c r="A56" s="7"/>
      <c r="B56" s="21" t="s">
        <v>325</v>
      </c>
      <c r="C56" s="7">
        <f>Formulaire!U85</f>
        <v>0</v>
      </c>
      <c r="D56" s="7">
        <f>Formulaire!V85</f>
        <v>0</v>
      </c>
      <c r="E56" s="7">
        <f>Formulaire!W85</f>
        <v>0</v>
      </c>
      <c r="F56" s="7">
        <f>Formulaire!X85</f>
        <v>0</v>
      </c>
      <c r="G56" s="7">
        <f>Formulaire!Y85</f>
        <v>0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 x14ac:dyDescent="0.3">
      <c r="A57" s="7"/>
      <c r="B57" s="21" t="s">
        <v>326</v>
      </c>
      <c r="C57" s="7">
        <f>Formulaire!U87</f>
        <v>0</v>
      </c>
      <c r="D57" s="7">
        <f>Formulaire!V87</f>
        <v>0</v>
      </c>
      <c r="E57" s="7">
        <f>Formulaire!W87</f>
        <v>0</v>
      </c>
      <c r="F57" s="7">
        <f>Formulaire!X87</f>
        <v>0</v>
      </c>
      <c r="G57" s="7">
        <f>Formulaire!Y87</f>
        <v>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 x14ac:dyDescent="0.3">
      <c r="A58" s="7"/>
      <c r="B58" s="21" t="s">
        <v>327</v>
      </c>
      <c r="C58" s="7">
        <f>Formulaire!U89</f>
        <v>0</v>
      </c>
      <c r="D58" s="7">
        <f>Formulaire!V89</f>
        <v>0</v>
      </c>
      <c r="E58" s="7">
        <f>Formulaire!W89</f>
        <v>0</v>
      </c>
      <c r="F58" s="7">
        <f>Formulaire!X89</f>
        <v>0</v>
      </c>
      <c r="G58" s="7">
        <f>Formulaire!Y89</f>
        <v>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 x14ac:dyDescent="0.3">
      <c r="A59" s="7"/>
      <c r="B59" s="21" t="s">
        <v>328</v>
      </c>
      <c r="C59" s="7">
        <f>Formulaire!U91</f>
        <v>0</v>
      </c>
      <c r="D59" s="7">
        <f>Formulaire!V91</f>
        <v>0</v>
      </c>
      <c r="E59" s="7">
        <f>Formulaire!W91</f>
        <v>0</v>
      </c>
      <c r="F59" s="7">
        <f>Formulaire!X91</f>
        <v>0</v>
      </c>
      <c r="G59" s="7">
        <f>Formulaire!Y91</f>
        <v>0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25">
      <c r="A60" s="14"/>
      <c r="B60" s="32"/>
      <c r="C60" s="48" t="s">
        <v>64</v>
      </c>
      <c r="D60" s="48" t="s">
        <v>65</v>
      </c>
      <c r="E60" s="48" t="s">
        <v>66</v>
      </c>
      <c r="F60" s="48" t="s">
        <v>67</v>
      </c>
      <c r="G60" s="48" t="s">
        <v>68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 x14ac:dyDescent="0.3">
      <c r="A61" s="7"/>
      <c r="B61" s="19" t="s">
        <v>334</v>
      </c>
      <c r="C61" s="7">
        <f t="shared" ref="C61" si="0">COUNTIF(C20:C59,1)</f>
        <v>0</v>
      </c>
      <c r="D61" s="7">
        <f t="shared" ref="D61:G61" si="1">COUNTIF(D20:D59,1)</f>
        <v>0</v>
      </c>
      <c r="E61" s="7">
        <f t="shared" si="1"/>
        <v>0</v>
      </c>
      <c r="F61" s="7">
        <f t="shared" si="1"/>
        <v>0</v>
      </c>
      <c r="G61" s="7">
        <f t="shared" si="1"/>
        <v>0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 x14ac:dyDescent="0.3">
      <c r="A62" s="7"/>
      <c r="B62" s="19" t="s">
        <v>335</v>
      </c>
      <c r="C62" s="7">
        <f>COUNTIF(C20:C59,2)</f>
        <v>0</v>
      </c>
      <c r="D62" s="7">
        <f t="shared" ref="D62:G62" si="2">COUNTIF(D20:D59,2)</f>
        <v>0</v>
      </c>
      <c r="E62" s="7">
        <f t="shared" si="2"/>
        <v>0</v>
      </c>
      <c r="F62" s="7">
        <f t="shared" si="2"/>
        <v>0</v>
      </c>
      <c r="G62" s="7">
        <f t="shared" si="2"/>
        <v>0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 x14ac:dyDescent="0.3">
      <c r="A63" s="7"/>
      <c r="B63" s="19" t="s">
        <v>336</v>
      </c>
      <c r="C63" s="7">
        <f>COUNTIF(C20:C59,3)</f>
        <v>0</v>
      </c>
      <c r="D63" s="7">
        <f t="shared" ref="D63:G63" si="3">COUNTIF(D20:D59,3)</f>
        <v>0</v>
      </c>
      <c r="E63" s="7">
        <f t="shared" si="3"/>
        <v>0</v>
      </c>
      <c r="F63" s="7">
        <f t="shared" si="3"/>
        <v>0</v>
      </c>
      <c r="G63" s="7">
        <f t="shared" si="3"/>
        <v>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 x14ac:dyDescent="0.3">
      <c r="A64" s="7"/>
      <c r="B64" s="19" t="s">
        <v>337</v>
      </c>
      <c r="C64" s="7">
        <f>COUNTIF(C20:C59,4)</f>
        <v>0</v>
      </c>
      <c r="D64" s="7">
        <f t="shared" ref="D64:G64" si="4">COUNTIF(D20:D59,4)</f>
        <v>0</v>
      </c>
      <c r="E64" s="7">
        <f t="shared" si="4"/>
        <v>0</v>
      </c>
      <c r="F64" s="7">
        <f t="shared" si="4"/>
        <v>0</v>
      </c>
      <c r="G64" s="7">
        <f t="shared" si="4"/>
        <v>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 x14ac:dyDescent="0.3">
      <c r="A65" s="7"/>
      <c r="B65" s="19" t="s">
        <v>338</v>
      </c>
      <c r="C65" s="7">
        <f>COUNTIF(C20:C59,5)</f>
        <v>0</v>
      </c>
      <c r="D65" s="7">
        <f t="shared" ref="D65:G65" si="5">COUNTIF(D20:D59,5)</f>
        <v>0</v>
      </c>
      <c r="E65" s="7">
        <f t="shared" si="5"/>
        <v>0</v>
      </c>
      <c r="F65" s="7">
        <f t="shared" si="5"/>
        <v>0</v>
      </c>
      <c r="G65" s="7">
        <f t="shared" si="5"/>
        <v>0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 x14ac:dyDescent="0.3">
      <c r="A66" s="7"/>
      <c r="B66" s="1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 x14ac:dyDescent="0.3">
      <c r="A67" s="7"/>
      <c r="B67" s="1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 x14ac:dyDescent="0.3">
      <c r="A68" s="7"/>
      <c r="B68" s="1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 x14ac:dyDescent="0.3">
      <c r="A69" s="7"/>
      <c r="B69" s="1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 x14ac:dyDescent="0.3">
      <c r="A70" s="7"/>
      <c r="B70" s="1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 x14ac:dyDescent="0.3">
      <c r="A71" s="7"/>
      <c r="B71" s="1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 x14ac:dyDescent="0.3">
      <c r="A72" s="7"/>
      <c r="B72" s="1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 x14ac:dyDescent="0.3">
      <c r="A73" s="7"/>
      <c r="B73" s="1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 x14ac:dyDescent="0.3">
      <c r="A74" s="7"/>
      <c r="B74" s="1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 x14ac:dyDescent="0.3">
      <c r="A75" s="7"/>
      <c r="B75" s="1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 x14ac:dyDescent="0.3">
      <c r="A76" s="7"/>
      <c r="B76" s="1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 x14ac:dyDescent="0.3">
      <c r="A77" s="7"/>
      <c r="B77" s="1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 x14ac:dyDescent="0.3">
      <c r="A78" s="7"/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 x14ac:dyDescent="0.3">
      <c r="A79" s="7"/>
      <c r="B79" s="1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 x14ac:dyDescent="0.3">
      <c r="A80" s="7"/>
      <c r="B80" s="1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69" customHeight="1" x14ac:dyDescent="0.3">
      <c r="A81" s="7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 x14ac:dyDescent="0.3">
      <c r="A83" s="7"/>
      <c r="B83" s="1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 x14ac:dyDescent="0.3">
      <c r="A84" s="7"/>
      <c r="B84" s="1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 x14ac:dyDescent="0.3">
      <c r="A85" s="7"/>
      <c r="B85" s="1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 x14ac:dyDescent="0.3">
      <c r="A86" s="7"/>
      <c r="B86" s="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 x14ac:dyDescent="0.3">
      <c r="A87" s="7"/>
      <c r="B87" s="1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 x14ac:dyDescent="0.3">
      <c r="A88" s="7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 x14ac:dyDescent="0.3">
      <c r="A89" s="7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 x14ac:dyDescent="0.3">
      <c r="A90" s="7"/>
      <c r="B90" s="1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 x14ac:dyDescent="0.3">
      <c r="A91" s="7"/>
      <c r="B91" s="1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 x14ac:dyDescent="0.3">
      <c r="A92" s="7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 x14ac:dyDescent="0.3">
      <c r="A93" s="7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 x14ac:dyDescent="0.3">
      <c r="A94" s="7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 x14ac:dyDescent="0.3">
      <c r="A95" s="7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 x14ac:dyDescent="0.3">
      <c r="A96" s="7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 x14ac:dyDescent="0.3">
      <c r="A97" s="7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 x14ac:dyDescent="0.3">
      <c r="A98" s="7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 x14ac:dyDescent="0.3">
      <c r="A99" s="7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 x14ac:dyDescent="0.3">
      <c r="A100" s="7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 x14ac:dyDescent="0.3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 x14ac:dyDescent="0.3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 x14ac:dyDescent="0.3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 x14ac:dyDescent="0.3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 x14ac:dyDescent="0.3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 x14ac:dyDescent="0.3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 x14ac:dyDescent="0.3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 x14ac:dyDescent="0.3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 x14ac:dyDescent="0.3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 x14ac:dyDescent="0.3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 x14ac:dyDescent="0.3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 x14ac:dyDescent="0.3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 x14ac:dyDescent="0.3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 x14ac:dyDescent="0.3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 x14ac:dyDescent="0.3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 x14ac:dyDescent="0.3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 x14ac:dyDescent="0.3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 x14ac:dyDescent="0.3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 x14ac:dyDescent="0.3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 x14ac:dyDescent="0.3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 x14ac:dyDescent="0.3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 x14ac:dyDescent="0.3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 x14ac:dyDescent="0.3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 x14ac:dyDescent="0.3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 x14ac:dyDescent="0.3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 x14ac:dyDescent="0.3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 x14ac:dyDescent="0.3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 x14ac:dyDescent="0.3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 x14ac:dyDescent="0.3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 x14ac:dyDescent="0.3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 x14ac:dyDescent="0.3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 x14ac:dyDescent="0.3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 x14ac:dyDescent="0.3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 x14ac:dyDescent="0.3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 x14ac:dyDescent="0.3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 x14ac:dyDescent="0.3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 x14ac:dyDescent="0.3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 x14ac:dyDescent="0.3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 x14ac:dyDescent="0.3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 x14ac:dyDescent="0.3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 x14ac:dyDescent="0.3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3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 x14ac:dyDescent="0.3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 x14ac:dyDescent="0.3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 x14ac:dyDescent="0.3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 x14ac:dyDescent="0.3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 x14ac:dyDescent="0.3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 x14ac:dyDescent="0.3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 x14ac:dyDescent="0.3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 x14ac:dyDescent="0.3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 x14ac:dyDescent="0.3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 x14ac:dyDescent="0.3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 x14ac:dyDescent="0.3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 x14ac:dyDescent="0.3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 x14ac:dyDescent="0.3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 x14ac:dyDescent="0.3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 x14ac:dyDescent="0.3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 x14ac:dyDescent="0.3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 x14ac:dyDescent="0.3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 x14ac:dyDescent="0.3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 x14ac:dyDescent="0.3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 x14ac:dyDescent="0.3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 x14ac:dyDescent="0.3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 x14ac:dyDescent="0.3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 x14ac:dyDescent="0.3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 x14ac:dyDescent="0.3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 x14ac:dyDescent="0.3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 x14ac:dyDescent="0.3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 x14ac:dyDescent="0.3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 x14ac:dyDescent="0.3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 x14ac:dyDescent="0.3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 x14ac:dyDescent="0.3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 x14ac:dyDescent="0.3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 x14ac:dyDescent="0.3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 x14ac:dyDescent="0.3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 x14ac:dyDescent="0.3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 x14ac:dyDescent="0.3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 x14ac:dyDescent="0.3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 x14ac:dyDescent="0.3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 x14ac:dyDescent="0.3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 x14ac:dyDescent="0.3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 x14ac:dyDescent="0.3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 x14ac:dyDescent="0.3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 x14ac:dyDescent="0.3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 x14ac:dyDescent="0.3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 x14ac:dyDescent="0.3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 x14ac:dyDescent="0.3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 x14ac:dyDescent="0.3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 x14ac:dyDescent="0.3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 x14ac:dyDescent="0.3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 x14ac:dyDescent="0.3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 x14ac:dyDescent="0.3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 x14ac:dyDescent="0.3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 x14ac:dyDescent="0.3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 x14ac:dyDescent="0.3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 x14ac:dyDescent="0.3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 x14ac:dyDescent="0.3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 x14ac:dyDescent="0.3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 x14ac:dyDescent="0.3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 x14ac:dyDescent="0.3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 x14ac:dyDescent="0.3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 x14ac:dyDescent="0.3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 x14ac:dyDescent="0.3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 x14ac:dyDescent="0.3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 x14ac:dyDescent="0.3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 x14ac:dyDescent="0.3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 x14ac:dyDescent="0.3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 x14ac:dyDescent="0.3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 x14ac:dyDescent="0.3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 x14ac:dyDescent="0.3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 x14ac:dyDescent="0.3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 x14ac:dyDescent="0.3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 x14ac:dyDescent="0.3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 x14ac:dyDescent="0.3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 x14ac:dyDescent="0.3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 x14ac:dyDescent="0.3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 x14ac:dyDescent="0.3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 x14ac:dyDescent="0.3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 x14ac:dyDescent="0.3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3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3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 x14ac:dyDescent="0.3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 x14ac:dyDescent="0.3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 x14ac:dyDescent="0.3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 x14ac:dyDescent="0.3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 x14ac:dyDescent="0.3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 x14ac:dyDescent="0.3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 x14ac:dyDescent="0.3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 x14ac:dyDescent="0.3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 x14ac:dyDescent="0.3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 x14ac:dyDescent="0.3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 x14ac:dyDescent="0.3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 x14ac:dyDescent="0.3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 x14ac:dyDescent="0.3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 x14ac:dyDescent="0.3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 x14ac:dyDescent="0.3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 x14ac:dyDescent="0.3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 x14ac:dyDescent="0.3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 x14ac:dyDescent="0.3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 x14ac:dyDescent="0.3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 x14ac:dyDescent="0.3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 x14ac:dyDescent="0.3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 x14ac:dyDescent="0.3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 x14ac:dyDescent="0.3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3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 x14ac:dyDescent="0.3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 x14ac:dyDescent="0.3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 x14ac:dyDescent="0.3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 x14ac:dyDescent="0.3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 x14ac:dyDescent="0.3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 x14ac:dyDescent="0.3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 x14ac:dyDescent="0.3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 x14ac:dyDescent="0.3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 x14ac:dyDescent="0.3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 x14ac:dyDescent="0.3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 x14ac:dyDescent="0.3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 x14ac:dyDescent="0.3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 x14ac:dyDescent="0.3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 x14ac:dyDescent="0.3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 x14ac:dyDescent="0.3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 x14ac:dyDescent="0.3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 x14ac:dyDescent="0.3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 x14ac:dyDescent="0.3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 x14ac:dyDescent="0.3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 x14ac:dyDescent="0.3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 x14ac:dyDescent="0.3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 x14ac:dyDescent="0.3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 x14ac:dyDescent="0.3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 x14ac:dyDescent="0.3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 x14ac:dyDescent="0.3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 x14ac:dyDescent="0.3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 x14ac:dyDescent="0.3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 x14ac:dyDescent="0.3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 x14ac:dyDescent="0.3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 x14ac:dyDescent="0.3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 x14ac:dyDescent="0.3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 x14ac:dyDescent="0.3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 x14ac:dyDescent="0.3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 x14ac:dyDescent="0.3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 x14ac:dyDescent="0.3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 x14ac:dyDescent="0.3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 x14ac:dyDescent="0.3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 x14ac:dyDescent="0.3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 x14ac:dyDescent="0.3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 x14ac:dyDescent="0.3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 x14ac:dyDescent="0.3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 x14ac:dyDescent="0.3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 x14ac:dyDescent="0.3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.75" customHeight="1" x14ac:dyDescent="0.3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.75" customHeight="1" x14ac:dyDescent="0.3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.75" customHeight="1" x14ac:dyDescent="0.3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.75" customHeight="1" x14ac:dyDescent="0.3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.75" customHeight="1" x14ac:dyDescent="0.3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75" customHeight="1" x14ac:dyDescent="0.3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75" customHeight="1" x14ac:dyDescent="0.3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75" customHeight="1" x14ac:dyDescent="0.3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.75" customHeight="1" x14ac:dyDescent="0.3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.75" customHeight="1" x14ac:dyDescent="0.3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.75" customHeight="1" x14ac:dyDescent="0.3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.75" customHeight="1" x14ac:dyDescent="0.3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.75" customHeight="1" x14ac:dyDescent="0.3">
      <c r="A301" s="7"/>
      <c r="B301" s="1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.75" customHeight="1" x14ac:dyDescent="0.3">
      <c r="A302" s="7"/>
      <c r="B302" s="1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.75" customHeight="1" x14ac:dyDescent="0.3">
      <c r="A303" s="7"/>
      <c r="B303" s="1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.75" customHeight="1" x14ac:dyDescent="0.3">
      <c r="A304" s="7"/>
      <c r="B304" s="1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5.75" customHeight="1" x14ac:dyDescent="0.3">
      <c r="A305" s="7"/>
      <c r="B305" s="1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.75" customHeight="1" x14ac:dyDescent="0.3">
      <c r="A306" s="7"/>
      <c r="B306" s="1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.75" customHeight="1" x14ac:dyDescent="0.3">
      <c r="A307" s="7"/>
      <c r="B307" s="1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5.75" customHeight="1" x14ac:dyDescent="0.3">
      <c r="A308" s="7"/>
      <c r="B308" s="1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5.75" customHeight="1" x14ac:dyDescent="0.3">
      <c r="A309" s="7"/>
      <c r="B309" s="1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5.75" customHeight="1" x14ac:dyDescent="0.3">
      <c r="A310" s="7"/>
      <c r="B310" s="1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5.75" customHeight="1" x14ac:dyDescent="0.3">
      <c r="A311" s="7"/>
      <c r="B311" s="1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5.75" customHeight="1" x14ac:dyDescent="0.3">
      <c r="A312" s="7"/>
      <c r="B312" s="1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5.75" customHeight="1" x14ac:dyDescent="0.3">
      <c r="A313" s="7"/>
      <c r="B313" s="1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5.75" customHeight="1" x14ac:dyDescent="0.3">
      <c r="A314" s="7"/>
      <c r="B314" s="1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5.75" customHeight="1" x14ac:dyDescent="0.3">
      <c r="A315" s="7"/>
      <c r="B315" s="1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5.75" customHeight="1" x14ac:dyDescent="0.3">
      <c r="A316" s="7"/>
      <c r="B316" s="1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5.75" customHeight="1" x14ac:dyDescent="0.3">
      <c r="A317" s="7"/>
      <c r="B317" s="1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5.75" customHeight="1" x14ac:dyDescent="0.3">
      <c r="A318" s="7"/>
      <c r="B318" s="1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5.75" customHeight="1" x14ac:dyDescent="0.3">
      <c r="A319" s="7"/>
      <c r="B319" s="1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5.75" customHeight="1" x14ac:dyDescent="0.3">
      <c r="A320" s="7"/>
      <c r="B320" s="1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5.75" customHeight="1" x14ac:dyDescent="0.3">
      <c r="A321" s="7"/>
      <c r="B321" s="1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5.75" customHeight="1" x14ac:dyDescent="0.3">
      <c r="A322" s="7"/>
      <c r="B322" s="1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5.75" customHeight="1" x14ac:dyDescent="0.3">
      <c r="A323" s="7"/>
      <c r="B323" s="1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5.75" customHeight="1" x14ac:dyDescent="0.3">
      <c r="A324" s="7"/>
      <c r="B324" s="1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5.75" customHeight="1" x14ac:dyDescent="0.3">
      <c r="A325" s="7"/>
      <c r="B325" s="1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5.75" customHeight="1" x14ac:dyDescent="0.3">
      <c r="A326" s="7"/>
      <c r="B326" s="1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5.75" customHeight="1" x14ac:dyDescent="0.3">
      <c r="A327" s="7"/>
      <c r="B327" s="1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5.75" customHeight="1" x14ac:dyDescent="0.3">
      <c r="A328" s="7"/>
      <c r="B328" s="1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5.75" customHeight="1" x14ac:dyDescent="0.3">
      <c r="A329" s="7"/>
      <c r="B329" s="1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5.75" customHeight="1" x14ac:dyDescent="0.3">
      <c r="A330" s="7"/>
      <c r="B330" s="1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5.75" customHeight="1" x14ac:dyDescent="0.3">
      <c r="A331" s="7"/>
      <c r="B331" s="1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5.75" customHeight="1" x14ac:dyDescent="0.3">
      <c r="A332" s="7"/>
      <c r="B332" s="1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5.75" customHeight="1" x14ac:dyDescent="0.3">
      <c r="A333" s="7"/>
      <c r="B333" s="1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5.75" customHeight="1" x14ac:dyDescent="0.3">
      <c r="A334" s="7"/>
      <c r="B334" s="1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5.75" customHeight="1" x14ac:dyDescent="0.3">
      <c r="A335" s="7"/>
      <c r="B335" s="1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5.75" customHeight="1" x14ac:dyDescent="0.3">
      <c r="A336" s="7"/>
      <c r="B336" s="1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5.75" customHeight="1" x14ac:dyDescent="0.3">
      <c r="A337" s="7"/>
      <c r="B337" s="1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5.75" customHeight="1" x14ac:dyDescent="0.3">
      <c r="A338" s="7"/>
      <c r="B338" s="1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5.75" customHeight="1" x14ac:dyDescent="0.3">
      <c r="A339" s="7"/>
      <c r="B339" s="1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5.75" customHeight="1" x14ac:dyDescent="0.3">
      <c r="A340" s="7"/>
      <c r="B340" s="1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5.75" customHeight="1" x14ac:dyDescent="0.3">
      <c r="A341" s="7"/>
      <c r="B341" s="1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5.75" customHeight="1" x14ac:dyDescent="0.3">
      <c r="A342" s="7"/>
      <c r="B342" s="1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5.75" customHeight="1" x14ac:dyDescent="0.3">
      <c r="A343" s="7"/>
      <c r="B343" s="1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5.75" customHeight="1" x14ac:dyDescent="0.3">
      <c r="A344" s="7"/>
      <c r="B344" s="1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5.75" customHeight="1" x14ac:dyDescent="0.3">
      <c r="A345" s="7"/>
      <c r="B345" s="1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5.75" customHeight="1" x14ac:dyDescent="0.3">
      <c r="A346" s="7"/>
      <c r="B346" s="1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5.75" customHeight="1" x14ac:dyDescent="0.3">
      <c r="A347" s="7"/>
      <c r="B347" s="1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5.75" customHeight="1" x14ac:dyDescent="0.3">
      <c r="A348" s="7"/>
      <c r="B348" s="1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5.75" customHeight="1" x14ac:dyDescent="0.3">
      <c r="A349" s="7"/>
      <c r="B349" s="1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5.75" customHeight="1" x14ac:dyDescent="0.3">
      <c r="A350" s="7"/>
      <c r="B350" s="1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5.75" customHeight="1" x14ac:dyDescent="0.3">
      <c r="A351" s="7"/>
      <c r="B351" s="1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5.75" customHeight="1" x14ac:dyDescent="0.3">
      <c r="A352" s="7"/>
      <c r="B352" s="1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5.75" customHeight="1" x14ac:dyDescent="0.3">
      <c r="A353" s="7"/>
      <c r="B353" s="1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5.75" customHeight="1" x14ac:dyDescent="0.3">
      <c r="A354" s="7"/>
      <c r="B354" s="1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.75" customHeight="1" x14ac:dyDescent="0.3">
      <c r="A355" s="7"/>
      <c r="B355" s="1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.75" customHeight="1" x14ac:dyDescent="0.3">
      <c r="A356" s="7"/>
      <c r="B356" s="1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.75" customHeight="1" x14ac:dyDescent="0.3">
      <c r="A357" s="7"/>
      <c r="B357" s="1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.75" customHeight="1" x14ac:dyDescent="0.3">
      <c r="A358" s="7"/>
      <c r="B358" s="1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.75" customHeight="1" x14ac:dyDescent="0.3">
      <c r="A359" s="7"/>
      <c r="B359" s="1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.75" customHeight="1" x14ac:dyDescent="0.3">
      <c r="A360" s="7"/>
      <c r="B360" s="1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.75" customHeight="1" x14ac:dyDescent="0.3">
      <c r="A361" s="7"/>
      <c r="B361" s="1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.75" customHeight="1" x14ac:dyDescent="0.3">
      <c r="A362" s="7"/>
      <c r="B362" s="1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.75" customHeight="1" x14ac:dyDescent="0.3">
      <c r="A363" s="7"/>
      <c r="B363" s="1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.75" customHeight="1" x14ac:dyDescent="0.3">
      <c r="A364" s="7"/>
      <c r="B364" s="1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5.75" customHeight="1" x14ac:dyDescent="0.3">
      <c r="A365" s="7"/>
      <c r="B365" s="1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5.75" customHeight="1" x14ac:dyDescent="0.3">
      <c r="A366" s="7"/>
      <c r="B366" s="1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.75" customHeight="1" x14ac:dyDescent="0.3">
      <c r="A367" s="7"/>
      <c r="B367" s="1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.75" customHeight="1" x14ac:dyDescent="0.3">
      <c r="A368" s="7"/>
      <c r="B368" s="1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5.75" customHeight="1" x14ac:dyDescent="0.3">
      <c r="A369" s="7"/>
      <c r="B369" s="1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5.75" customHeight="1" x14ac:dyDescent="0.3">
      <c r="A370" s="7"/>
      <c r="B370" s="1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5.75" customHeight="1" x14ac:dyDescent="0.3">
      <c r="A371" s="7"/>
      <c r="B371" s="1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5.75" customHeight="1" x14ac:dyDescent="0.3">
      <c r="A372" s="7"/>
      <c r="B372" s="1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5.75" customHeight="1" x14ac:dyDescent="0.3">
      <c r="A373" s="7"/>
      <c r="B373" s="1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5.75" customHeight="1" x14ac:dyDescent="0.3">
      <c r="A374" s="7"/>
      <c r="B374" s="1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5.75" customHeight="1" x14ac:dyDescent="0.3">
      <c r="A375" s="7"/>
      <c r="B375" s="1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5.75" customHeight="1" x14ac:dyDescent="0.3">
      <c r="A376" s="7"/>
      <c r="B376" s="1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5.75" customHeight="1" x14ac:dyDescent="0.3">
      <c r="A377" s="7"/>
      <c r="B377" s="1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5.75" customHeight="1" x14ac:dyDescent="0.3">
      <c r="A378" s="7"/>
      <c r="B378" s="1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5.75" customHeight="1" x14ac:dyDescent="0.3">
      <c r="A379" s="7"/>
      <c r="B379" s="1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5.75" customHeight="1" x14ac:dyDescent="0.3">
      <c r="A380" s="7"/>
      <c r="B380" s="1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5.75" customHeight="1" x14ac:dyDescent="0.3">
      <c r="A381" s="7"/>
      <c r="B381" s="1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5.75" customHeight="1" x14ac:dyDescent="0.3">
      <c r="A382" s="7"/>
      <c r="B382" s="1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5.75" customHeight="1" x14ac:dyDescent="0.3">
      <c r="A383" s="7"/>
      <c r="B383" s="1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5.75" customHeight="1" x14ac:dyDescent="0.3">
      <c r="A384" s="7"/>
      <c r="B384" s="1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5.75" customHeight="1" x14ac:dyDescent="0.3">
      <c r="A385" s="7"/>
      <c r="B385" s="1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5.75" customHeight="1" x14ac:dyDescent="0.3">
      <c r="A386" s="7"/>
      <c r="B386" s="1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5.75" customHeight="1" x14ac:dyDescent="0.3">
      <c r="A387" s="7"/>
      <c r="B387" s="1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5.75" customHeight="1" x14ac:dyDescent="0.3">
      <c r="A388" s="7"/>
      <c r="B388" s="1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5.75" customHeight="1" x14ac:dyDescent="0.3">
      <c r="A389" s="7"/>
      <c r="B389" s="1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5.75" customHeight="1" x14ac:dyDescent="0.3">
      <c r="A390" s="7"/>
      <c r="B390" s="1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5.75" customHeight="1" x14ac:dyDescent="0.3">
      <c r="A391" s="7"/>
      <c r="B391" s="1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5.75" customHeight="1" x14ac:dyDescent="0.3">
      <c r="A392" s="7"/>
      <c r="B392" s="1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5.75" customHeight="1" x14ac:dyDescent="0.3">
      <c r="A393" s="7"/>
      <c r="B393" s="1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5.75" customHeight="1" x14ac:dyDescent="0.3">
      <c r="A394" s="7"/>
      <c r="B394" s="1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5.75" customHeight="1" x14ac:dyDescent="0.3">
      <c r="A395" s="7"/>
      <c r="B395" s="1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5.75" customHeight="1" x14ac:dyDescent="0.3">
      <c r="A396" s="7"/>
      <c r="B396" s="1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5.75" customHeight="1" x14ac:dyDescent="0.3">
      <c r="A397" s="7"/>
      <c r="B397" s="1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5.75" customHeight="1" x14ac:dyDescent="0.3">
      <c r="A398" s="7"/>
      <c r="B398" s="1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5.75" customHeight="1" x14ac:dyDescent="0.3">
      <c r="A399" s="7"/>
      <c r="B399" s="1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5.75" customHeight="1" x14ac:dyDescent="0.3">
      <c r="A400" s="7"/>
      <c r="B400" s="1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5.75" customHeight="1" x14ac:dyDescent="0.3">
      <c r="A401" s="7"/>
      <c r="B401" s="1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5.75" customHeight="1" x14ac:dyDescent="0.3">
      <c r="A402" s="7"/>
      <c r="B402" s="1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5.75" customHeight="1" x14ac:dyDescent="0.3">
      <c r="A403" s="7"/>
      <c r="B403" s="1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5.75" customHeight="1" x14ac:dyDescent="0.3">
      <c r="A404" s="7"/>
      <c r="B404" s="1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5.75" customHeight="1" x14ac:dyDescent="0.3">
      <c r="A405" s="7"/>
      <c r="B405" s="1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5.75" customHeight="1" x14ac:dyDescent="0.3">
      <c r="A406" s="7"/>
      <c r="B406" s="1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5.75" customHeight="1" x14ac:dyDescent="0.3">
      <c r="A407" s="7"/>
      <c r="B407" s="1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5.75" customHeight="1" x14ac:dyDescent="0.3">
      <c r="A408" s="7"/>
      <c r="B408" s="1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5.75" customHeight="1" x14ac:dyDescent="0.3">
      <c r="A409" s="7"/>
      <c r="B409" s="1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5.75" customHeight="1" x14ac:dyDescent="0.3">
      <c r="A410" s="7"/>
      <c r="B410" s="1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5.75" customHeight="1" x14ac:dyDescent="0.3">
      <c r="A411" s="7"/>
      <c r="B411" s="1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5.75" customHeight="1" x14ac:dyDescent="0.3">
      <c r="A412" s="7"/>
      <c r="B412" s="1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5.75" customHeight="1" x14ac:dyDescent="0.3">
      <c r="A413" s="7"/>
      <c r="B413" s="1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5.75" customHeight="1" x14ac:dyDescent="0.3">
      <c r="A414" s="7"/>
      <c r="B414" s="1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5.75" customHeight="1" x14ac:dyDescent="0.3">
      <c r="A415" s="7"/>
      <c r="B415" s="1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.75" customHeight="1" x14ac:dyDescent="0.3">
      <c r="A416" s="7"/>
      <c r="B416" s="1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.75" customHeight="1" x14ac:dyDescent="0.3">
      <c r="A417" s="7"/>
      <c r="B417" s="1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.75" customHeight="1" x14ac:dyDescent="0.3">
      <c r="A418" s="7"/>
      <c r="B418" s="1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.75" customHeight="1" x14ac:dyDescent="0.3">
      <c r="A419" s="7"/>
      <c r="B419" s="1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.75" customHeight="1" x14ac:dyDescent="0.3">
      <c r="A420" s="7"/>
      <c r="B420" s="1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.75" customHeight="1" x14ac:dyDescent="0.3">
      <c r="A421" s="7"/>
      <c r="B421" s="1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.75" customHeight="1" x14ac:dyDescent="0.3">
      <c r="A422" s="7"/>
      <c r="B422" s="1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.75" customHeight="1" x14ac:dyDescent="0.3">
      <c r="A423" s="7"/>
      <c r="B423" s="1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.75" customHeight="1" x14ac:dyDescent="0.3">
      <c r="A424" s="7"/>
      <c r="B424" s="1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.75" customHeight="1" x14ac:dyDescent="0.3">
      <c r="A425" s="7"/>
      <c r="B425" s="1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5.75" customHeight="1" x14ac:dyDescent="0.3">
      <c r="A426" s="7"/>
      <c r="B426" s="1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5.75" customHeight="1" x14ac:dyDescent="0.3">
      <c r="A427" s="7"/>
      <c r="B427" s="1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.75" customHeight="1" x14ac:dyDescent="0.3">
      <c r="A428" s="7"/>
      <c r="B428" s="1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.75" customHeight="1" x14ac:dyDescent="0.3">
      <c r="A429" s="7"/>
      <c r="B429" s="1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5.75" customHeight="1" x14ac:dyDescent="0.3">
      <c r="A430" s="7"/>
      <c r="B430" s="1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5.75" customHeight="1" x14ac:dyDescent="0.3">
      <c r="A431" s="7"/>
      <c r="B431" s="1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5.75" customHeight="1" x14ac:dyDescent="0.3">
      <c r="A432" s="7"/>
      <c r="B432" s="1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5.75" customHeight="1" x14ac:dyDescent="0.3">
      <c r="A433" s="7"/>
      <c r="B433" s="1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5.75" customHeight="1" x14ac:dyDescent="0.3">
      <c r="A434" s="7"/>
      <c r="B434" s="1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5.75" customHeight="1" x14ac:dyDescent="0.3">
      <c r="A435" s="7"/>
      <c r="B435" s="1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5.75" customHeight="1" x14ac:dyDescent="0.3">
      <c r="A436" s="7"/>
      <c r="B436" s="1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5.75" customHeight="1" x14ac:dyDescent="0.3">
      <c r="A437" s="7"/>
      <c r="B437" s="1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5.75" customHeight="1" x14ac:dyDescent="0.3">
      <c r="A438" s="7"/>
      <c r="B438" s="1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5.75" customHeight="1" x14ac:dyDescent="0.3">
      <c r="A439" s="7"/>
      <c r="B439" s="1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5.75" customHeight="1" x14ac:dyDescent="0.3">
      <c r="A440" s="7"/>
      <c r="B440" s="1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5.75" customHeight="1" x14ac:dyDescent="0.3">
      <c r="A441" s="7"/>
      <c r="B441" s="1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5.75" customHeight="1" x14ac:dyDescent="0.3">
      <c r="A442" s="7"/>
      <c r="B442" s="1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5.75" customHeight="1" x14ac:dyDescent="0.3">
      <c r="A443" s="7"/>
      <c r="B443" s="1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5.75" customHeight="1" x14ac:dyDescent="0.3">
      <c r="A444" s="7"/>
      <c r="B444" s="1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5.75" customHeight="1" x14ac:dyDescent="0.3">
      <c r="A445" s="7"/>
      <c r="B445" s="1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5.75" customHeight="1" x14ac:dyDescent="0.3">
      <c r="A446" s="7"/>
      <c r="B446" s="1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5.75" customHeight="1" x14ac:dyDescent="0.3">
      <c r="A447" s="7"/>
      <c r="B447" s="1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5.75" customHeight="1" x14ac:dyDescent="0.3">
      <c r="A448" s="7"/>
      <c r="B448" s="1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5.75" customHeight="1" x14ac:dyDescent="0.3">
      <c r="A449" s="7"/>
      <c r="B449" s="1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5.75" customHeight="1" x14ac:dyDescent="0.3">
      <c r="A450" s="7"/>
      <c r="B450" s="1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5.75" customHeight="1" x14ac:dyDescent="0.3">
      <c r="A451" s="7"/>
      <c r="B451" s="1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5.75" customHeight="1" x14ac:dyDescent="0.3">
      <c r="A452" s="7"/>
      <c r="B452" s="1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5.75" customHeight="1" x14ac:dyDescent="0.3">
      <c r="A453" s="7"/>
      <c r="B453" s="1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5.75" customHeight="1" x14ac:dyDescent="0.3">
      <c r="A454" s="7"/>
      <c r="B454" s="1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5.75" customHeight="1" x14ac:dyDescent="0.3">
      <c r="A455" s="7"/>
      <c r="B455" s="1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5.75" customHeight="1" x14ac:dyDescent="0.3">
      <c r="A456" s="7"/>
      <c r="B456" s="1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5.75" customHeight="1" x14ac:dyDescent="0.3">
      <c r="A457" s="7"/>
      <c r="B457" s="1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5.75" customHeight="1" x14ac:dyDescent="0.3">
      <c r="A458" s="7"/>
      <c r="B458" s="1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5.75" customHeight="1" x14ac:dyDescent="0.3">
      <c r="A459" s="7"/>
      <c r="B459" s="1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5.75" customHeight="1" x14ac:dyDescent="0.3">
      <c r="A460" s="7"/>
      <c r="B460" s="1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5.75" customHeight="1" x14ac:dyDescent="0.3">
      <c r="A461" s="7"/>
      <c r="B461" s="1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5.75" customHeight="1" x14ac:dyDescent="0.3">
      <c r="A462" s="7"/>
      <c r="B462" s="1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5.75" customHeight="1" x14ac:dyDescent="0.3">
      <c r="A463" s="7"/>
      <c r="B463" s="1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5.75" customHeight="1" x14ac:dyDescent="0.3">
      <c r="A464" s="7"/>
      <c r="B464" s="1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5.75" customHeight="1" x14ac:dyDescent="0.3">
      <c r="A465" s="7"/>
      <c r="B465" s="1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5.75" customHeight="1" x14ac:dyDescent="0.3">
      <c r="A466" s="7"/>
      <c r="B466" s="1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5.75" customHeight="1" x14ac:dyDescent="0.3">
      <c r="A467" s="7"/>
      <c r="B467" s="1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5.75" customHeight="1" x14ac:dyDescent="0.3">
      <c r="A468" s="7"/>
      <c r="B468" s="1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5.75" customHeight="1" x14ac:dyDescent="0.3">
      <c r="A469" s="7"/>
      <c r="B469" s="1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5.75" customHeight="1" x14ac:dyDescent="0.3">
      <c r="A470" s="7"/>
      <c r="B470" s="1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5.75" customHeight="1" x14ac:dyDescent="0.3">
      <c r="A471" s="7"/>
      <c r="B471" s="1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5.75" customHeight="1" x14ac:dyDescent="0.3">
      <c r="A472" s="7"/>
      <c r="B472" s="1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5.75" customHeight="1" x14ac:dyDescent="0.3">
      <c r="A473" s="7"/>
      <c r="B473" s="1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5.75" customHeight="1" x14ac:dyDescent="0.3">
      <c r="A474" s="7"/>
      <c r="B474" s="1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5.75" customHeight="1" x14ac:dyDescent="0.3">
      <c r="A475" s="7"/>
      <c r="B475" s="1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5.75" customHeight="1" x14ac:dyDescent="0.3">
      <c r="A476" s="7"/>
      <c r="B476" s="1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5.75" customHeight="1" x14ac:dyDescent="0.3">
      <c r="A477" s="7"/>
      <c r="B477" s="1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5.75" customHeight="1" x14ac:dyDescent="0.3">
      <c r="A478" s="7"/>
      <c r="B478" s="1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5.75" customHeight="1" x14ac:dyDescent="0.3">
      <c r="A479" s="7"/>
      <c r="B479" s="1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5.75" customHeight="1" x14ac:dyDescent="0.3">
      <c r="A480" s="7"/>
      <c r="B480" s="1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5.75" customHeight="1" x14ac:dyDescent="0.3">
      <c r="A481" s="7"/>
      <c r="B481" s="1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5.75" customHeight="1" x14ac:dyDescent="0.3">
      <c r="A482" s="7"/>
      <c r="B482" s="1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5.75" customHeight="1" x14ac:dyDescent="0.3">
      <c r="A483" s="7"/>
      <c r="B483" s="1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5.75" customHeight="1" x14ac:dyDescent="0.3">
      <c r="A484" s="7"/>
      <c r="B484" s="1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5.75" customHeight="1" x14ac:dyDescent="0.3">
      <c r="A485" s="7"/>
      <c r="B485" s="1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5.75" customHeight="1" x14ac:dyDescent="0.3">
      <c r="A486" s="7"/>
      <c r="B486" s="1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5.75" customHeight="1" x14ac:dyDescent="0.3">
      <c r="A487" s="7"/>
      <c r="B487" s="1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5.75" customHeight="1" x14ac:dyDescent="0.3">
      <c r="A488" s="7"/>
      <c r="B488" s="1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5.75" customHeight="1" x14ac:dyDescent="0.3">
      <c r="A489" s="7"/>
      <c r="B489" s="1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5.75" customHeight="1" x14ac:dyDescent="0.3">
      <c r="A490" s="7"/>
      <c r="B490" s="1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5.75" customHeight="1" x14ac:dyDescent="0.3">
      <c r="A491" s="7"/>
      <c r="B491" s="1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5.75" customHeight="1" x14ac:dyDescent="0.3">
      <c r="A492" s="7"/>
      <c r="B492" s="1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5.75" customHeight="1" x14ac:dyDescent="0.3">
      <c r="A493" s="7"/>
      <c r="B493" s="1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5.75" customHeight="1" x14ac:dyDescent="0.3">
      <c r="A494" s="7"/>
      <c r="B494" s="1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5.75" customHeight="1" x14ac:dyDescent="0.3">
      <c r="A495" s="7"/>
      <c r="B495" s="1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5.75" customHeight="1" x14ac:dyDescent="0.3">
      <c r="A496" s="7"/>
      <c r="B496" s="1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5.75" customHeight="1" x14ac:dyDescent="0.3">
      <c r="A497" s="7"/>
      <c r="B497" s="1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5.75" customHeight="1" x14ac:dyDescent="0.3">
      <c r="A498" s="7"/>
      <c r="B498" s="1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5.75" customHeight="1" x14ac:dyDescent="0.3">
      <c r="A499" s="7"/>
      <c r="B499" s="1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5.75" customHeight="1" x14ac:dyDescent="0.3">
      <c r="A500" s="7"/>
      <c r="B500" s="1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5.75" customHeight="1" x14ac:dyDescent="0.3">
      <c r="A501" s="7"/>
      <c r="B501" s="1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5.75" customHeight="1" x14ac:dyDescent="0.3">
      <c r="A502" s="7"/>
      <c r="B502" s="1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5.75" customHeight="1" x14ac:dyDescent="0.3">
      <c r="A503" s="7"/>
      <c r="B503" s="1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5.75" customHeight="1" x14ac:dyDescent="0.3">
      <c r="A504" s="7"/>
      <c r="B504" s="1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5.75" customHeight="1" x14ac:dyDescent="0.3">
      <c r="A505" s="7"/>
      <c r="B505" s="1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5.75" customHeight="1" x14ac:dyDescent="0.3">
      <c r="A506" s="7"/>
      <c r="B506" s="1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5.75" customHeight="1" x14ac:dyDescent="0.3">
      <c r="A507" s="7"/>
      <c r="B507" s="1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5.75" customHeight="1" x14ac:dyDescent="0.3">
      <c r="A508" s="7"/>
      <c r="B508" s="1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5.75" customHeight="1" x14ac:dyDescent="0.3">
      <c r="A509" s="7"/>
      <c r="B509" s="1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5.75" customHeight="1" x14ac:dyDescent="0.3">
      <c r="A510" s="7"/>
      <c r="B510" s="1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5.75" customHeight="1" x14ac:dyDescent="0.3">
      <c r="A511" s="7"/>
      <c r="B511" s="1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5.75" customHeight="1" x14ac:dyDescent="0.3">
      <c r="A512" s="7"/>
      <c r="B512" s="1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5.75" customHeight="1" x14ac:dyDescent="0.3">
      <c r="A513" s="7"/>
      <c r="B513" s="1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5.75" customHeight="1" x14ac:dyDescent="0.3">
      <c r="A514" s="7"/>
      <c r="B514" s="1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5.75" customHeight="1" x14ac:dyDescent="0.3">
      <c r="A515" s="7"/>
      <c r="B515" s="1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5.75" customHeight="1" x14ac:dyDescent="0.3">
      <c r="A516" s="7"/>
      <c r="B516" s="1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5.75" customHeight="1" x14ac:dyDescent="0.3">
      <c r="A517" s="7"/>
      <c r="B517" s="1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5.75" customHeight="1" x14ac:dyDescent="0.3">
      <c r="A518" s="7"/>
      <c r="B518" s="1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5.75" customHeight="1" x14ac:dyDescent="0.3">
      <c r="A519" s="7"/>
      <c r="B519" s="1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5.75" customHeight="1" x14ac:dyDescent="0.3">
      <c r="A520" s="7"/>
      <c r="B520" s="1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5.75" customHeight="1" x14ac:dyDescent="0.3">
      <c r="A521" s="7"/>
      <c r="B521" s="1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5.75" customHeight="1" x14ac:dyDescent="0.3">
      <c r="A522" s="7"/>
      <c r="B522" s="1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5.75" customHeight="1" x14ac:dyDescent="0.3">
      <c r="A523" s="7"/>
      <c r="B523" s="1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5.75" customHeight="1" x14ac:dyDescent="0.3">
      <c r="A524" s="7"/>
      <c r="B524" s="1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5.75" customHeight="1" x14ac:dyDescent="0.3">
      <c r="A525" s="7"/>
      <c r="B525" s="1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5.75" customHeight="1" x14ac:dyDescent="0.3">
      <c r="A526" s="7"/>
      <c r="B526" s="1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5.75" customHeight="1" x14ac:dyDescent="0.3">
      <c r="A527" s="7"/>
      <c r="B527" s="1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5.75" customHeight="1" x14ac:dyDescent="0.3">
      <c r="A528" s="7"/>
      <c r="B528" s="1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5.75" customHeight="1" x14ac:dyDescent="0.3">
      <c r="A529" s="7"/>
      <c r="B529" s="1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5.75" customHeight="1" x14ac:dyDescent="0.3">
      <c r="A530" s="7"/>
      <c r="B530" s="1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5.75" customHeight="1" x14ac:dyDescent="0.3">
      <c r="A531" s="7"/>
      <c r="B531" s="1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5.75" customHeight="1" x14ac:dyDescent="0.3">
      <c r="A532" s="7"/>
      <c r="B532" s="1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5.75" customHeight="1" x14ac:dyDescent="0.3">
      <c r="A533" s="7"/>
      <c r="B533" s="1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5.75" customHeight="1" x14ac:dyDescent="0.3">
      <c r="A534" s="7"/>
      <c r="B534" s="1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5.75" customHeight="1" x14ac:dyDescent="0.3">
      <c r="A535" s="7"/>
      <c r="B535" s="1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5.75" customHeight="1" x14ac:dyDescent="0.3">
      <c r="A536" s="7"/>
      <c r="B536" s="1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5.75" customHeight="1" x14ac:dyDescent="0.3">
      <c r="A537" s="7"/>
      <c r="B537" s="1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5.75" customHeight="1" x14ac:dyDescent="0.3">
      <c r="A538" s="7"/>
      <c r="B538" s="1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5.75" customHeight="1" x14ac:dyDescent="0.3">
      <c r="A539" s="7"/>
      <c r="B539" s="1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5.75" customHeight="1" x14ac:dyDescent="0.3">
      <c r="A540" s="7"/>
      <c r="B540" s="1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5.75" customHeight="1" x14ac:dyDescent="0.3">
      <c r="A541" s="7"/>
      <c r="B541" s="1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5.75" customHeight="1" x14ac:dyDescent="0.3">
      <c r="A542" s="7"/>
      <c r="B542" s="1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5.75" customHeight="1" x14ac:dyDescent="0.3">
      <c r="A543" s="7"/>
      <c r="B543" s="1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5.75" customHeight="1" x14ac:dyDescent="0.3">
      <c r="A544" s="7"/>
      <c r="B544" s="1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5.75" customHeight="1" x14ac:dyDescent="0.3">
      <c r="A545" s="7"/>
      <c r="B545" s="1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5.75" customHeight="1" x14ac:dyDescent="0.3">
      <c r="A546" s="7"/>
      <c r="B546" s="1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5.75" customHeight="1" x14ac:dyDescent="0.3">
      <c r="A547" s="7"/>
      <c r="B547" s="1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5.75" customHeight="1" x14ac:dyDescent="0.3">
      <c r="A548" s="7"/>
      <c r="B548" s="1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5.75" customHeight="1" x14ac:dyDescent="0.3">
      <c r="A549" s="7"/>
      <c r="B549" s="1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5.75" customHeight="1" x14ac:dyDescent="0.3">
      <c r="A550" s="7"/>
      <c r="B550" s="1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5.75" customHeight="1" x14ac:dyDescent="0.3">
      <c r="A551" s="7"/>
      <c r="B551" s="1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5.75" customHeight="1" x14ac:dyDescent="0.3">
      <c r="A552" s="7"/>
      <c r="B552" s="1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5.75" customHeight="1" x14ac:dyDescent="0.3">
      <c r="A553" s="7"/>
      <c r="B553" s="1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5.75" customHeight="1" x14ac:dyDescent="0.3">
      <c r="A554" s="7"/>
      <c r="B554" s="1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5.75" customHeight="1" x14ac:dyDescent="0.3">
      <c r="A555" s="7"/>
      <c r="B555" s="1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5.75" customHeight="1" x14ac:dyDescent="0.3">
      <c r="A556" s="7"/>
      <c r="B556" s="1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5.75" customHeight="1" x14ac:dyDescent="0.3">
      <c r="A557" s="7"/>
      <c r="B557" s="1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5.75" customHeight="1" x14ac:dyDescent="0.3">
      <c r="A558" s="7"/>
      <c r="B558" s="1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5.75" customHeight="1" x14ac:dyDescent="0.3">
      <c r="A559" s="7"/>
      <c r="B559" s="1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5.75" customHeight="1" x14ac:dyDescent="0.3">
      <c r="A560" s="7"/>
      <c r="B560" s="1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5.75" customHeight="1" x14ac:dyDescent="0.3">
      <c r="A561" s="7"/>
      <c r="B561" s="1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5.75" customHeight="1" x14ac:dyDescent="0.3">
      <c r="A562" s="7"/>
      <c r="B562" s="1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5.75" customHeight="1" x14ac:dyDescent="0.3">
      <c r="A563" s="7"/>
      <c r="B563" s="1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5.75" customHeight="1" x14ac:dyDescent="0.3">
      <c r="A564" s="7"/>
      <c r="B564" s="1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5.75" customHeight="1" x14ac:dyDescent="0.3">
      <c r="A565" s="7"/>
      <c r="B565" s="1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5.75" customHeight="1" x14ac:dyDescent="0.3">
      <c r="A566" s="7"/>
      <c r="B566" s="1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5.75" customHeight="1" x14ac:dyDescent="0.3">
      <c r="A567" s="7"/>
      <c r="B567" s="1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5.75" customHeight="1" x14ac:dyDescent="0.3">
      <c r="A568" s="7"/>
      <c r="B568" s="1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5.75" customHeight="1" x14ac:dyDescent="0.3">
      <c r="A569" s="7"/>
      <c r="B569" s="1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5.75" customHeight="1" x14ac:dyDescent="0.3">
      <c r="A570" s="7"/>
      <c r="B570" s="1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5.75" customHeight="1" x14ac:dyDescent="0.3">
      <c r="A571" s="7"/>
      <c r="B571" s="1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5.75" customHeight="1" x14ac:dyDescent="0.3">
      <c r="A572" s="7"/>
      <c r="B572" s="1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5.75" customHeight="1" x14ac:dyDescent="0.3">
      <c r="A573" s="7"/>
      <c r="B573" s="1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5.75" customHeight="1" x14ac:dyDescent="0.3">
      <c r="A574" s="7"/>
      <c r="B574" s="1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5.75" customHeight="1" x14ac:dyDescent="0.3">
      <c r="A575" s="7"/>
      <c r="B575" s="1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5.75" customHeight="1" x14ac:dyDescent="0.3">
      <c r="A576" s="7"/>
      <c r="B576" s="1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5.75" customHeight="1" x14ac:dyDescent="0.3">
      <c r="A577" s="7"/>
      <c r="B577" s="1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5.75" customHeight="1" x14ac:dyDescent="0.3">
      <c r="A578" s="7"/>
      <c r="B578" s="1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5.75" customHeight="1" x14ac:dyDescent="0.3">
      <c r="A579" s="7"/>
      <c r="B579" s="1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5.75" customHeight="1" x14ac:dyDescent="0.3">
      <c r="A580" s="7"/>
      <c r="B580" s="1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5.75" customHeight="1" x14ac:dyDescent="0.3">
      <c r="A581" s="7"/>
      <c r="B581" s="1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5.75" customHeight="1" x14ac:dyDescent="0.3">
      <c r="A582" s="7"/>
      <c r="B582" s="1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5.75" customHeight="1" x14ac:dyDescent="0.3">
      <c r="A583" s="7"/>
      <c r="B583" s="1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5.75" customHeight="1" x14ac:dyDescent="0.3">
      <c r="A584" s="7"/>
      <c r="B584" s="1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5.75" customHeight="1" x14ac:dyDescent="0.3">
      <c r="A585" s="7"/>
      <c r="B585" s="1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5.75" customHeight="1" x14ac:dyDescent="0.3">
      <c r="A586" s="7"/>
      <c r="B586" s="1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5.75" customHeight="1" x14ac:dyDescent="0.3">
      <c r="A587" s="7"/>
      <c r="B587" s="1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5.75" customHeight="1" x14ac:dyDescent="0.3">
      <c r="A588" s="7"/>
      <c r="B588" s="1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5.75" customHeight="1" x14ac:dyDescent="0.3">
      <c r="A589" s="7"/>
      <c r="B589" s="1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5.75" customHeight="1" x14ac:dyDescent="0.3">
      <c r="A590" s="7"/>
      <c r="B590" s="1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5.75" customHeight="1" x14ac:dyDescent="0.3">
      <c r="A591" s="7"/>
      <c r="B591" s="1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5.75" customHeight="1" x14ac:dyDescent="0.3">
      <c r="A592" s="7"/>
      <c r="B592" s="1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5.75" customHeight="1" x14ac:dyDescent="0.3">
      <c r="A593" s="7"/>
      <c r="B593" s="1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5.75" customHeight="1" x14ac:dyDescent="0.3">
      <c r="A594" s="7"/>
      <c r="B594" s="1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5.75" customHeight="1" x14ac:dyDescent="0.3">
      <c r="A595" s="7"/>
      <c r="B595" s="1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5.75" customHeight="1" x14ac:dyDescent="0.3">
      <c r="A596" s="7"/>
      <c r="B596" s="1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5.75" customHeight="1" x14ac:dyDescent="0.3">
      <c r="A597" s="7"/>
      <c r="B597" s="1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5.75" customHeight="1" x14ac:dyDescent="0.3">
      <c r="A598" s="7"/>
      <c r="B598" s="1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5.75" customHeight="1" x14ac:dyDescent="0.3">
      <c r="A599" s="7"/>
      <c r="B599" s="1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5.75" customHeight="1" x14ac:dyDescent="0.3">
      <c r="A600" s="7"/>
      <c r="B600" s="1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5.75" customHeight="1" x14ac:dyDescent="0.3">
      <c r="A601" s="7"/>
      <c r="B601" s="1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5.75" customHeight="1" x14ac:dyDescent="0.3">
      <c r="A602" s="7"/>
      <c r="B602" s="1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5.75" customHeight="1" x14ac:dyDescent="0.3">
      <c r="A603" s="7"/>
      <c r="B603" s="1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5.75" customHeight="1" x14ac:dyDescent="0.3">
      <c r="A604" s="7"/>
      <c r="B604" s="1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5.75" customHeight="1" x14ac:dyDescent="0.3">
      <c r="A605" s="7"/>
      <c r="B605" s="1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5.75" customHeight="1" x14ac:dyDescent="0.3">
      <c r="A606" s="7"/>
      <c r="B606" s="1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5.75" customHeight="1" x14ac:dyDescent="0.3">
      <c r="A607" s="7"/>
      <c r="B607" s="1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5.75" customHeight="1" x14ac:dyDescent="0.3">
      <c r="A608" s="7"/>
      <c r="B608" s="1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5.75" customHeight="1" x14ac:dyDescent="0.3">
      <c r="A609" s="7"/>
      <c r="B609" s="1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5.75" customHeight="1" x14ac:dyDescent="0.3">
      <c r="A610" s="7"/>
      <c r="B610" s="1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5.75" customHeight="1" x14ac:dyDescent="0.3">
      <c r="A611" s="7"/>
      <c r="B611" s="1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5.75" customHeight="1" x14ac:dyDescent="0.3">
      <c r="A612" s="7"/>
      <c r="B612" s="1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5.75" customHeight="1" x14ac:dyDescent="0.3">
      <c r="A613" s="7"/>
      <c r="B613" s="1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5.75" customHeight="1" x14ac:dyDescent="0.3">
      <c r="A614" s="7"/>
      <c r="B614" s="1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5.75" customHeight="1" x14ac:dyDescent="0.3">
      <c r="A615" s="7"/>
      <c r="B615" s="1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5.75" customHeight="1" x14ac:dyDescent="0.3">
      <c r="A616" s="7"/>
      <c r="B616" s="1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5.75" customHeight="1" x14ac:dyDescent="0.3">
      <c r="A617" s="7"/>
      <c r="B617" s="1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5.75" customHeight="1" x14ac:dyDescent="0.3">
      <c r="A618" s="7"/>
      <c r="B618" s="1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5.75" customHeight="1" x14ac:dyDescent="0.3">
      <c r="A619" s="7"/>
      <c r="B619" s="1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5.75" customHeight="1" x14ac:dyDescent="0.3">
      <c r="A620" s="7"/>
      <c r="B620" s="1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5.75" customHeight="1" x14ac:dyDescent="0.3">
      <c r="A621" s="7"/>
      <c r="B621" s="1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5.75" customHeight="1" x14ac:dyDescent="0.3">
      <c r="A622" s="7"/>
      <c r="B622" s="1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5.75" customHeight="1" x14ac:dyDescent="0.3">
      <c r="A623" s="7"/>
      <c r="B623" s="1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5.75" customHeight="1" x14ac:dyDescent="0.3">
      <c r="A624" s="7"/>
      <c r="B624" s="1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5.75" customHeight="1" x14ac:dyDescent="0.3">
      <c r="A625" s="7"/>
      <c r="B625" s="1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5.75" customHeight="1" x14ac:dyDescent="0.3">
      <c r="A626" s="7"/>
      <c r="B626" s="1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5.75" customHeight="1" x14ac:dyDescent="0.3">
      <c r="A627" s="7"/>
      <c r="B627" s="1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5.75" customHeight="1" x14ac:dyDescent="0.3">
      <c r="A628" s="7"/>
      <c r="B628" s="1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5.75" customHeight="1" x14ac:dyDescent="0.3">
      <c r="A629" s="7"/>
      <c r="B629" s="1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5.75" customHeight="1" x14ac:dyDescent="0.3">
      <c r="A630" s="7"/>
      <c r="B630" s="1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5.75" customHeight="1" x14ac:dyDescent="0.3">
      <c r="A631" s="7"/>
      <c r="B631" s="1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5.75" customHeight="1" x14ac:dyDescent="0.3">
      <c r="A632" s="7"/>
      <c r="B632" s="1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5.75" customHeight="1" x14ac:dyDescent="0.3">
      <c r="A633" s="7"/>
      <c r="B633" s="1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5.75" customHeight="1" x14ac:dyDescent="0.3">
      <c r="A634" s="7"/>
      <c r="B634" s="1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5.75" customHeight="1" x14ac:dyDescent="0.3">
      <c r="A635" s="7"/>
      <c r="B635" s="1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5.75" customHeight="1" x14ac:dyDescent="0.3">
      <c r="A636" s="7"/>
      <c r="B636" s="1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5.75" customHeight="1" x14ac:dyDescent="0.3">
      <c r="A637" s="7"/>
      <c r="B637" s="1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5.75" customHeight="1" x14ac:dyDescent="0.3">
      <c r="A638" s="7"/>
      <c r="B638" s="1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5.75" customHeight="1" x14ac:dyDescent="0.3">
      <c r="A639" s="7"/>
      <c r="B639" s="1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5.75" customHeight="1" x14ac:dyDescent="0.3">
      <c r="A640" s="7"/>
      <c r="B640" s="1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5.75" customHeight="1" x14ac:dyDescent="0.3">
      <c r="A641" s="7"/>
      <c r="B641" s="1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5.75" customHeight="1" x14ac:dyDescent="0.3">
      <c r="A642" s="7"/>
      <c r="B642" s="1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5.75" customHeight="1" x14ac:dyDescent="0.3">
      <c r="A643" s="7"/>
      <c r="B643" s="1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5.75" customHeight="1" x14ac:dyDescent="0.3">
      <c r="A644" s="7"/>
      <c r="B644" s="1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5.75" customHeight="1" x14ac:dyDescent="0.3">
      <c r="A645" s="7"/>
      <c r="B645" s="1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5.75" customHeight="1" x14ac:dyDescent="0.3">
      <c r="A646" s="7"/>
      <c r="B646" s="1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5.75" customHeight="1" x14ac:dyDescent="0.3">
      <c r="A647" s="7"/>
      <c r="B647" s="1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5.75" customHeight="1" x14ac:dyDescent="0.3">
      <c r="A648" s="7"/>
      <c r="B648" s="1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5.75" customHeight="1" x14ac:dyDescent="0.3">
      <c r="A649" s="7"/>
      <c r="B649" s="1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5.75" customHeight="1" x14ac:dyDescent="0.3">
      <c r="A650" s="7"/>
      <c r="B650" s="1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5.75" customHeight="1" x14ac:dyDescent="0.3">
      <c r="A651" s="7"/>
      <c r="B651" s="1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5.75" customHeight="1" x14ac:dyDescent="0.3">
      <c r="A652" s="7"/>
      <c r="B652" s="1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5.75" customHeight="1" x14ac:dyDescent="0.3">
      <c r="A653" s="7"/>
      <c r="B653" s="1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5.75" customHeight="1" x14ac:dyDescent="0.3">
      <c r="A654" s="7"/>
      <c r="B654" s="1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5.75" customHeight="1" x14ac:dyDescent="0.3">
      <c r="A655" s="7"/>
      <c r="B655" s="1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5.75" customHeight="1" x14ac:dyDescent="0.3">
      <c r="A656" s="7"/>
      <c r="B656" s="1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5.75" customHeight="1" x14ac:dyDescent="0.3">
      <c r="A657" s="7"/>
      <c r="B657" s="1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5.75" customHeight="1" x14ac:dyDescent="0.3">
      <c r="A658" s="7"/>
      <c r="B658" s="1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5.75" customHeight="1" x14ac:dyDescent="0.3">
      <c r="A659" s="7"/>
      <c r="B659" s="1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5.75" customHeight="1" x14ac:dyDescent="0.3">
      <c r="A660" s="7"/>
      <c r="B660" s="1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5.75" customHeight="1" x14ac:dyDescent="0.3">
      <c r="A661" s="7"/>
      <c r="B661" s="1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5.75" customHeight="1" x14ac:dyDescent="0.3">
      <c r="A662" s="7"/>
      <c r="B662" s="1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5.75" customHeight="1" x14ac:dyDescent="0.3">
      <c r="A663" s="7"/>
      <c r="B663" s="1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5.75" customHeight="1" x14ac:dyDescent="0.3">
      <c r="A664" s="7"/>
      <c r="B664" s="1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5.75" customHeight="1" x14ac:dyDescent="0.3">
      <c r="A665" s="7"/>
      <c r="B665" s="1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5.75" customHeight="1" x14ac:dyDescent="0.3">
      <c r="A666" s="7"/>
      <c r="B666" s="1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5.75" customHeight="1" x14ac:dyDescent="0.3">
      <c r="A667" s="7"/>
      <c r="B667" s="1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5.75" customHeight="1" x14ac:dyDescent="0.3">
      <c r="A668" s="7"/>
      <c r="B668" s="1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5.75" customHeight="1" x14ac:dyDescent="0.3">
      <c r="A669" s="7"/>
      <c r="B669" s="1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5.75" customHeight="1" x14ac:dyDescent="0.3">
      <c r="A670" s="7"/>
      <c r="B670" s="1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5.75" customHeight="1" x14ac:dyDescent="0.3">
      <c r="A671" s="7"/>
      <c r="B671" s="1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5.75" customHeight="1" x14ac:dyDescent="0.3">
      <c r="A672" s="7"/>
      <c r="B672" s="1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5.75" customHeight="1" x14ac:dyDescent="0.3">
      <c r="A673" s="7"/>
      <c r="B673" s="1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5.75" customHeight="1" x14ac:dyDescent="0.3">
      <c r="A674" s="7"/>
      <c r="B674" s="1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5.75" customHeight="1" x14ac:dyDescent="0.3">
      <c r="A675" s="7"/>
      <c r="B675" s="1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5.75" customHeight="1" x14ac:dyDescent="0.3">
      <c r="A676" s="7"/>
      <c r="B676" s="1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5.75" customHeight="1" x14ac:dyDescent="0.3">
      <c r="A677" s="7"/>
      <c r="B677" s="1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5.75" customHeight="1" x14ac:dyDescent="0.3">
      <c r="A678" s="7"/>
      <c r="B678" s="1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5.75" customHeight="1" x14ac:dyDescent="0.3">
      <c r="A679" s="7"/>
      <c r="B679" s="1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5.75" customHeight="1" x14ac:dyDescent="0.3">
      <c r="A680" s="7"/>
      <c r="B680" s="1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5.75" customHeight="1" x14ac:dyDescent="0.3">
      <c r="A681" s="7"/>
      <c r="B681" s="1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5.75" customHeight="1" x14ac:dyDescent="0.3">
      <c r="A682" s="7"/>
      <c r="B682" s="1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5.75" customHeight="1" x14ac:dyDescent="0.3">
      <c r="A683" s="7"/>
      <c r="B683" s="1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5.75" customHeight="1" x14ac:dyDescent="0.3">
      <c r="A684" s="7"/>
      <c r="B684" s="1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5.75" customHeight="1" x14ac:dyDescent="0.3">
      <c r="A685" s="7"/>
      <c r="B685" s="1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5.75" customHeight="1" x14ac:dyDescent="0.3">
      <c r="A686" s="7"/>
      <c r="B686" s="1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5.75" customHeight="1" x14ac:dyDescent="0.3">
      <c r="A687" s="7"/>
      <c r="B687" s="1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5.75" customHeight="1" x14ac:dyDescent="0.3">
      <c r="A688" s="7"/>
      <c r="B688" s="1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5.75" customHeight="1" x14ac:dyDescent="0.3">
      <c r="A689" s="7"/>
      <c r="B689" s="1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5.75" customHeight="1" x14ac:dyDescent="0.3">
      <c r="A690" s="7"/>
      <c r="B690" s="1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5.75" customHeight="1" x14ac:dyDescent="0.3">
      <c r="A691" s="7"/>
      <c r="B691" s="1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5.75" customHeight="1" x14ac:dyDescent="0.3">
      <c r="A692" s="7"/>
      <c r="B692" s="1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5.75" customHeight="1" x14ac:dyDescent="0.3">
      <c r="A693" s="7"/>
      <c r="B693" s="1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5.75" customHeight="1" x14ac:dyDescent="0.3">
      <c r="A694" s="7"/>
      <c r="B694" s="1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5.75" customHeight="1" x14ac:dyDescent="0.3">
      <c r="A695" s="7"/>
      <c r="B695" s="1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5.75" customHeight="1" x14ac:dyDescent="0.3">
      <c r="A696" s="7"/>
      <c r="B696" s="1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5.75" customHeight="1" x14ac:dyDescent="0.3">
      <c r="A697" s="7"/>
      <c r="B697" s="1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5.75" customHeight="1" x14ac:dyDescent="0.3">
      <c r="A698" s="7"/>
      <c r="B698" s="1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5.75" customHeight="1" x14ac:dyDescent="0.3">
      <c r="A699" s="7"/>
      <c r="B699" s="1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5.75" customHeight="1" x14ac:dyDescent="0.3">
      <c r="A700" s="7"/>
      <c r="B700" s="1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5.75" customHeight="1" x14ac:dyDescent="0.3">
      <c r="A701" s="7"/>
      <c r="B701" s="1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5.75" customHeight="1" x14ac:dyDescent="0.3">
      <c r="A702" s="7"/>
      <c r="B702" s="1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5.75" customHeight="1" x14ac:dyDescent="0.3">
      <c r="A703" s="7"/>
      <c r="B703" s="1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5.75" customHeight="1" x14ac:dyDescent="0.3">
      <c r="A704" s="7"/>
      <c r="B704" s="1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5.75" customHeight="1" x14ac:dyDescent="0.3">
      <c r="A705" s="7"/>
      <c r="B705" s="1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5.75" customHeight="1" x14ac:dyDescent="0.3">
      <c r="A706" s="7"/>
      <c r="B706" s="1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5.75" customHeight="1" x14ac:dyDescent="0.3">
      <c r="A707" s="7"/>
      <c r="B707" s="1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5.75" customHeight="1" x14ac:dyDescent="0.3">
      <c r="A708" s="7"/>
      <c r="B708" s="1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5.75" customHeight="1" x14ac:dyDescent="0.3">
      <c r="A709" s="7"/>
      <c r="B709" s="1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5.75" customHeight="1" x14ac:dyDescent="0.3">
      <c r="A710" s="7"/>
      <c r="B710" s="1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5.75" customHeight="1" x14ac:dyDescent="0.3">
      <c r="A711" s="7"/>
      <c r="B711" s="1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5.75" customHeight="1" x14ac:dyDescent="0.3">
      <c r="A712" s="7"/>
      <c r="B712" s="1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5.75" customHeight="1" x14ac:dyDescent="0.3">
      <c r="A713" s="7"/>
      <c r="B713" s="1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5.75" customHeight="1" x14ac:dyDescent="0.3">
      <c r="A714" s="7"/>
      <c r="B714" s="1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5.75" customHeight="1" x14ac:dyDescent="0.3">
      <c r="A715" s="7"/>
      <c r="B715" s="1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5.75" customHeight="1" x14ac:dyDescent="0.3">
      <c r="A716" s="7"/>
      <c r="B716" s="1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5.75" customHeight="1" x14ac:dyDescent="0.3">
      <c r="A717" s="7"/>
      <c r="B717" s="1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5.75" customHeight="1" x14ac:dyDescent="0.3">
      <c r="A718" s="7"/>
      <c r="B718" s="1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5.75" customHeight="1" x14ac:dyDescent="0.3">
      <c r="A719" s="7"/>
      <c r="B719" s="1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5.75" customHeight="1" x14ac:dyDescent="0.3">
      <c r="A720" s="7"/>
      <c r="B720" s="1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5.75" customHeight="1" x14ac:dyDescent="0.3">
      <c r="A721" s="7"/>
      <c r="B721" s="1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5.75" customHeight="1" x14ac:dyDescent="0.3">
      <c r="A722" s="7"/>
      <c r="B722" s="1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5.75" customHeight="1" x14ac:dyDescent="0.3">
      <c r="A723" s="7"/>
      <c r="B723" s="1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5.75" customHeight="1" x14ac:dyDescent="0.3">
      <c r="A724" s="7"/>
      <c r="B724" s="1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5.75" customHeight="1" x14ac:dyDescent="0.3">
      <c r="A725" s="7"/>
      <c r="B725" s="1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5.75" customHeight="1" x14ac:dyDescent="0.3">
      <c r="A726" s="7"/>
      <c r="B726" s="1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5.75" customHeight="1" x14ac:dyDescent="0.3">
      <c r="A727" s="7"/>
      <c r="B727" s="1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5.75" customHeight="1" x14ac:dyDescent="0.3">
      <c r="A728" s="7"/>
      <c r="B728" s="1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5.75" customHeight="1" x14ac:dyDescent="0.3">
      <c r="A729" s="7"/>
      <c r="B729" s="1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5.75" customHeight="1" x14ac:dyDescent="0.3">
      <c r="A730" s="7"/>
      <c r="B730" s="1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5.75" customHeight="1" x14ac:dyDescent="0.3">
      <c r="A731" s="7"/>
      <c r="B731" s="1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5.75" customHeight="1" x14ac:dyDescent="0.3">
      <c r="A732" s="7"/>
      <c r="B732" s="1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5.75" customHeight="1" x14ac:dyDescent="0.3">
      <c r="A733" s="7"/>
      <c r="B733" s="1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5.75" customHeight="1" x14ac:dyDescent="0.3">
      <c r="A734" s="7"/>
      <c r="B734" s="1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5.75" customHeight="1" x14ac:dyDescent="0.3">
      <c r="A735" s="7"/>
      <c r="B735" s="1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5.75" customHeight="1" x14ac:dyDescent="0.3">
      <c r="A736" s="7"/>
      <c r="B736" s="1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5.75" customHeight="1" x14ac:dyDescent="0.3">
      <c r="A737" s="7"/>
      <c r="B737" s="1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5.75" customHeight="1" x14ac:dyDescent="0.3">
      <c r="A738" s="7"/>
      <c r="B738" s="1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5.75" customHeight="1" x14ac:dyDescent="0.3">
      <c r="A739" s="7"/>
      <c r="B739" s="1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5.75" customHeight="1" x14ac:dyDescent="0.3">
      <c r="A740" s="7"/>
      <c r="B740" s="1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5.75" customHeight="1" x14ac:dyDescent="0.3">
      <c r="A741" s="7"/>
      <c r="B741" s="1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5.75" customHeight="1" x14ac:dyDescent="0.3">
      <c r="A742" s="7"/>
      <c r="B742" s="1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5.75" customHeight="1" x14ac:dyDescent="0.3">
      <c r="A743" s="7"/>
      <c r="B743" s="1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5.75" customHeight="1" x14ac:dyDescent="0.3">
      <c r="A744" s="7"/>
      <c r="B744" s="1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5.75" customHeight="1" x14ac:dyDescent="0.3">
      <c r="A745" s="7"/>
      <c r="B745" s="1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5.75" customHeight="1" x14ac:dyDescent="0.3">
      <c r="A746" s="7"/>
      <c r="B746" s="1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5.75" customHeight="1" x14ac:dyDescent="0.3">
      <c r="A747" s="7"/>
      <c r="B747" s="1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5.75" customHeight="1" x14ac:dyDescent="0.3">
      <c r="A748" s="7"/>
      <c r="B748" s="1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5.75" customHeight="1" x14ac:dyDescent="0.3">
      <c r="A749" s="7"/>
      <c r="B749" s="1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5.75" customHeight="1" x14ac:dyDescent="0.3">
      <c r="A750" s="7"/>
      <c r="B750" s="1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5.75" customHeight="1" x14ac:dyDescent="0.3">
      <c r="A751" s="7"/>
      <c r="B751" s="1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5.75" customHeight="1" x14ac:dyDescent="0.3">
      <c r="A752" s="7"/>
      <c r="B752" s="1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5.75" customHeight="1" x14ac:dyDescent="0.3">
      <c r="A753" s="7"/>
      <c r="B753" s="1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5.75" customHeight="1" x14ac:dyDescent="0.3">
      <c r="A754" s="7"/>
      <c r="B754" s="1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5.75" customHeight="1" x14ac:dyDescent="0.3">
      <c r="A755" s="7"/>
      <c r="B755" s="1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5.75" customHeight="1" x14ac:dyDescent="0.3">
      <c r="A756" s="7"/>
      <c r="B756" s="1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5.75" customHeight="1" x14ac:dyDescent="0.3">
      <c r="A757" s="7"/>
      <c r="B757" s="1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5.75" customHeight="1" x14ac:dyDescent="0.3">
      <c r="A758" s="7"/>
      <c r="B758" s="1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5.75" customHeight="1" x14ac:dyDescent="0.3">
      <c r="A759" s="7"/>
      <c r="B759" s="1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5.75" customHeight="1" x14ac:dyDescent="0.3">
      <c r="A760" s="7"/>
      <c r="B760" s="1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5.75" customHeight="1" x14ac:dyDescent="0.3">
      <c r="A761" s="7"/>
      <c r="B761" s="1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5.75" customHeight="1" x14ac:dyDescent="0.3">
      <c r="A762" s="7"/>
      <c r="B762" s="1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5.75" customHeight="1" x14ac:dyDescent="0.3">
      <c r="A763" s="7"/>
      <c r="B763" s="1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5.75" customHeight="1" x14ac:dyDescent="0.3">
      <c r="A764" s="7"/>
      <c r="B764" s="1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5.75" customHeight="1" x14ac:dyDescent="0.3">
      <c r="A765" s="7"/>
      <c r="B765" s="1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5.75" customHeight="1" x14ac:dyDescent="0.3">
      <c r="A766" s="7"/>
      <c r="B766" s="1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5.75" customHeight="1" x14ac:dyDescent="0.3">
      <c r="A767" s="7"/>
      <c r="B767" s="1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5.75" customHeight="1" x14ac:dyDescent="0.3">
      <c r="A768" s="7"/>
      <c r="B768" s="1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5.75" customHeight="1" x14ac:dyDescent="0.3">
      <c r="A769" s="7"/>
      <c r="B769" s="1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5.75" customHeight="1" x14ac:dyDescent="0.3">
      <c r="A770" s="7"/>
      <c r="B770" s="1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5.75" customHeight="1" x14ac:dyDescent="0.3">
      <c r="A771" s="7"/>
      <c r="B771" s="1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5.75" customHeight="1" x14ac:dyDescent="0.3">
      <c r="A772" s="7"/>
      <c r="B772" s="1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5.75" customHeight="1" x14ac:dyDescent="0.3">
      <c r="A773" s="7"/>
      <c r="B773" s="1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5.75" customHeight="1" x14ac:dyDescent="0.3">
      <c r="A774" s="7"/>
      <c r="B774" s="1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5.75" customHeight="1" x14ac:dyDescent="0.3">
      <c r="A775" s="7"/>
      <c r="B775" s="1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5.75" customHeight="1" x14ac:dyDescent="0.3">
      <c r="A776" s="7"/>
      <c r="B776" s="1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5.75" customHeight="1" x14ac:dyDescent="0.3">
      <c r="A777" s="7"/>
      <c r="B777" s="1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5.75" customHeight="1" x14ac:dyDescent="0.3">
      <c r="A778" s="7"/>
      <c r="B778" s="1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5.75" customHeight="1" x14ac:dyDescent="0.3">
      <c r="A779" s="7"/>
      <c r="B779" s="1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5.75" customHeight="1" x14ac:dyDescent="0.3">
      <c r="A780" s="7"/>
      <c r="B780" s="1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5.75" customHeight="1" x14ac:dyDescent="0.3">
      <c r="A781" s="7"/>
      <c r="B781" s="1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5.75" customHeight="1" x14ac:dyDescent="0.3">
      <c r="A782" s="7"/>
      <c r="B782" s="1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5.75" customHeight="1" x14ac:dyDescent="0.3">
      <c r="A783" s="7"/>
      <c r="B783" s="1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5.75" customHeight="1" x14ac:dyDescent="0.3">
      <c r="A784" s="7"/>
      <c r="B784" s="1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5.75" customHeight="1" x14ac:dyDescent="0.3">
      <c r="A785" s="7"/>
      <c r="B785" s="1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5.75" customHeight="1" x14ac:dyDescent="0.3">
      <c r="A786" s="7"/>
      <c r="B786" s="1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5.75" customHeight="1" x14ac:dyDescent="0.3">
      <c r="A787" s="7"/>
      <c r="B787" s="1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5.75" customHeight="1" x14ac:dyDescent="0.3">
      <c r="A788" s="7"/>
      <c r="B788" s="1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5.75" customHeight="1" x14ac:dyDescent="0.3">
      <c r="A789" s="7"/>
      <c r="B789" s="1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5.75" customHeight="1" x14ac:dyDescent="0.3">
      <c r="A790" s="7"/>
      <c r="B790" s="1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5.75" customHeight="1" x14ac:dyDescent="0.3">
      <c r="A791" s="7"/>
      <c r="B791" s="1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5.75" customHeight="1" x14ac:dyDescent="0.3">
      <c r="A792" s="7"/>
      <c r="B792" s="1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5.75" customHeight="1" x14ac:dyDescent="0.3">
      <c r="A793" s="7"/>
      <c r="B793" s="1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5.75" customHeight="1" x14ac:dyDescent="0.3">
      <c r="A794" s="7"/>
      <c r="B794" s="1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5.75" customHeight="1" x14ac:dyDescent="0.3">
      <c r="A795" s="7"/>
      <c r="B795" s="1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5.75" customHeight="1" x14ac:dyDescent="0.3">
      <c r="A796" s="7"/>
      <c r="B796" s="1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5.75" customHeight="1" x14ac:dyDescent="0.3">
      <c r="A797" s="7"/>
      <c r="B797" s="1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5.75" customHeight="1" x14ac:dyDescent="0.3">
      <c r="A798" s="7"/>
      <c r="B798" s="1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5.75" customHeight="1" x14ac:dyDescent="0.3">
      <c r="A799" s="7"/>
      <c r="B799" s="1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5.75" customHeight="1" x14ac:dyDescent="0.3">
      <c r="A800" s="7"/>
      <c r="B800" s="1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5.75" customHeight="1" x14ac:dyDescent="0.3">
      <c r="A801" s="7"/>
      <c r="B801" s="1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5.75" customHeight="1" x14ac:dyDescent="0.3">
      <c r="A802" s="7"/>
      <c r="B802" s="1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5.75" customHeight="1" x14ac:dyDescent="0.3">
      <c r="A803" s="7"/>
      <c r="B803" s="1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5.75" customHeight="1" x14ac:dyDescent="0.3">
      <c r="A804" s="7"/>
      <c r="B804" s="1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5.75" customHeight="1" x14ac:dyDescent="0.3">
      <c r="A805" s="7"/>
      <c r="B805" s="1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5.75" customHeight="1" x14ac:dyDescent="0.3">
      <c r="A806" s="7"/>
      <c r="B806" s="1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5.75" customHeight="1" x14ac:dyDescent="0.3">
      <c r="A807" s="7"/>
      <c r="B807" s="1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5.75" customHeight="1" x14ac:dyDescent="0.3">
      <c r="A808" s="7"/>
      <c r="B808" s="1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5.75" customHeight="1" x14ac:dyDescent="0.3">
      <c r="A809" s="7"/>
      <c r="B809" s="1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5.75" customHeight="1" x14ac:dyDescent="0.3">
      <c r="A810" s="7"/>
      <c r="B810" s="1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5.75" customHeight="1" x14ac:dyDescent="0.3">
      <c r="A811" s="7"/>
      <c r="B811" s="1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5.75" customHeight="1" x14ac:dyDescent="0.3">
      <c r="A812" s="7"/>
      <c r="B812" s="1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5.75" customHeight="1" x14ac:dyDescent="0.3">
      <c r="A813" s="7"/>
      <c r="B813" s="1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5.75" customHeight="1" x14ac:dyDescent="0.3">
      <c r="A814" s="7"/>
      <c r="B814" s="1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5.75" customHeight="1" x14ac:dyDescent="0.3">
      <c r="A815" s="7"/>
      <c r="B815" s="1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5.75" customHeight="1" x14ac:dyDescent="0.3">
      <c r="A816" s="7"/>
      <c r="B816" s="1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5.75" customHeight="1" x14ac:dyDescent="0.3">
      <c r="A817" s="7"/>
      <c r="B817" s="1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5.75" customHeight="1" x14ac:dyDescent="0.3">
      <c r="A818" s="7"/>
      <c r="B818" s="1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5.75" customHeight="1" x14ac:dyDescent="0.3">
      <c r="A819" s="7"/>
      <c r="B819" s="1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5.75" customHeight="1" x14ac:dyDescent="0.3">
      <c r="A820" s="7"/>
      <c r="B820" s="1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5.75" customHeight="1" x14ac:dyDescent="0.3">
      <c r="A821" s="7"/>
      <c r="B821" s="1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5.75" customHeight="1" x14ac:dyDescent="0.3">
      <c r="A822" s="7"/>
      <c r="B822" s="1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5.75" customHeight="1" x14ac:dyDescent="0.3">
      <c r="A823" s="7"/>
      <c r="B823" s="1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5.75" customHeight="1" x14ac:dyDescent="0.3">
      <c r="A824" s="7"/>
      <c r="B824" s="1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5.75" customHeight="1" x14ac:dyDescent="0.3">
      <c r="A825" s="7"/>
      <c r="B825" s="1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5.75" customHeight="1" x14ac:dyDescent="0.3">
      <c r="A826" s="7"/>
      <c r="B826" s="1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5.75" customHeight="1" x14ac:dyDescent="0.3">
      <c r="A827" s="7"/>
      <c r="B827" s="1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5.75" customHeight="1" x14ac:dyDescent="0.3">
      <c r="A828" s="7"/>
      <c r="B828" s="1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5.75" customHeight="1" x14ac:dyDescent="0.3">
      <c r="A829" s="7"/>
      <c r="B829" s="1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5.75" customHeight="1" x14ac:dyDescent="0.3">
      <c r="A830" s="7"/>
      <c r="B830" s="1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5.75" customHeight="1" x14ac:dyDescent="0.3">
      <c r="A831" s="7"/>
      <c r="B831" s="1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5.75" customHeight="1" x14ac:dyDescent="0.3">
      <c r="A832" s="7"/>
      <c r="B832" s="1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5.75" customHeight="1" x14ac:dyDescent="0.3">
      <c r="A833" s="7"/>
      <c r="B833" s="1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5.75" customHeight="1" x14ac:dyDescent="0.3">
      <c r="A834" s="7"/>
      <c r="B834" s="1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5.75" customHeight="1" x14ac:dyDescent="0.3">
      <c r="A835" s="7"/>
      <c r="B835" s="1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5.75" customHeight="1" x14ac:dyDescent="0.3">
      <c r="A836" s="7"/>
      <c r="B836" s="1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5.75" customHeight="1" x14ac:dyDescent="0.3">
      <c r="A837" s="7"/>
      <c r="B837" s="1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5.75" customHeight="1" x14ac:dyDescent="0.3">
      <c r="A838" s="7"/>
      <c r="B838" s="1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5.75" customHeight="1" x14ac:dyDescent="0.3">
      <c r="A839" s="7"/>
      <c r="B839" s="1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5.75" customHeight="1" x14ac:dyDescent="0.3">
      <c r="A840" s="7"/>
      <c r="B840" s="1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5.75" customHeight="1" x14ac:dyDescent="0.3">
      <c r="A841" s="7"/>
      <c r="B841" s="1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5.75" customHeight="1" x14ac:dyDescent="0.3">
      <c r="A842" s="7"/>
      <c r="B842" s="1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5.75" customHeight="1" x14ac:dyDescent="0.3">
      <c r="A843" s="7"/>
      <c r="B843" s="1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5.75" customHeight="1" x14ac:dyDescent="0.3">
      <c r="A844" s="7"/>
      <c r="B844" s="1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5.75" customHeight="1" x14ac:dyDescent="0.3">
      <c r="A845" s="7"/>
      <c r="B845" s="1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5.75" customHeight="1" x14ac:dyDescent="0.3">
      <c r="A846" s="7"/>
      <c r="B846" s="1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5.75" customHeight="1" x14ac:dyDescent="0.3">
      <c r="A847" s="7"/>
      <c r="B847" s="1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5.75" customHeight="1" x14ac:dyDescent="0.3">
      <c r="A848" s="7"/>
      <c r="B848" s="1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5.75" customHeight="1" x14ac:dyDescent="0.3">
      <c r="A849" s="7"/>
      <c r="B849" s="1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5.75" customHeight="1" x14ac:dyDescent="0.3">
      <c r="A850" s="7"/>
      <c r="B850" s="1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5.75" customHeight="1" x14ac:dyDescent="0.3">
      <c r="A851" s="7"/>
      <c r="B851" s="1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5.75" customHeight="1" x14ac:dyDescent="0.3">
      <c r="A852" s="7"/>
      <c r="B852" s="1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5.75" customHeight="1" x14ac:dyDescent="0.3">
      <c r="A853" s="7"/>
      <c r="B853" s="1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5.75" customHeight="1" x14ac:dyDescent="0.3">
      <c r="A854" s="7"/>
      <c r="B854" s="1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5.75" customHeight="1" x14ac:dyDescent="0.3">
      <c r="A855" s="7"/>
      <c r="B855" s="1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5.75" customHeight="1" x14ac:dyDescent="0.3">
      <c r="A856" s="7"/>
      <c r="B856" s="1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5.75" customHeight="1" x14ac:dyDescent="0.3">
      <c r="A857" s="7"/>
      <c r="B857" s="1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5.75" customHeight="1" x14ac:dyDescent="0.3">
      <c r="A858" s="7"/>
      <c r="B858" s="1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5.75" customHeight="1" x14ac:dyDescent="0.3">
      <c r="A859" s="7"/>
      <c r="B859" s="1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5.75" customHeight="1" x14ac:dyDescent="0.3">
      <c r="A860" s="7"/>
      <c r="B860" s="1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5.75" customHeight="1" x14ac:dyDescent="0.3">
      <c r="A861" s="7"/>
      <c r="B861" s="1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5.75" customHeight="1" x14ac:dyDescent="0.3">
      <c r="A862" s="7"/>
      <c r="B862" s="1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5.75" customHeight="1" x14ac:dyDescent="0.3">
      <c r="A863" s="7"/>
      <c r="B863" s="1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5.75" customHeight="1" x14ac:dyDescent="0.3">
      <c r="A864" s="7"/>
      <c r="B864" s="1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5.75" customHeight="1" x14ac:dyDescent="0.3">
      <c r="A865" s="7"/>
      <c r="B865" s="1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5.75" customHeight="1" x14ac:dyDescent="0.3">
      <c r="A866" s="7"/>
      <c r="B866" s="1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5.75" customHeight="1" x14ac:dyDescent="0.3">
      <c r="A867" s="7"/>
      <c r="B867" s="1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5.75" customHeight="1" x14ac:dyDescent="0.3">
      <c r="A868" s="7"/>
      <c r="B868" s="1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5.75" customHeight="1" x14ac:dyDescent="0.3">
      <c r="A869" s="7"/>
      <c r="B869" s="1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5.75" customHeight="1" x14ac:dyDescent="0.3">
      <c r="A870" s="7"/>
      <c r="B870" s="1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5.75" customHeight="1" x14ac:dyDescent="0.3">
      <c r="A871" s="7"/>
      <c r="B871" s="1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5.75" customHeight="1" x14ac:dyDescent="0.3">
      <c r="A872" s="7"/>
      <c r="B872" s="1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5.75" customHeight="1" x14ac:dyDescent="0.3">
      <c r="A873" s="7"/>
      <c r="B873" s="1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5.75" customHeight="1" x14ac:dyDescent="0.3">
      <c r="A874" s="7"/>
      <c r="B874" s="1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5.75" customHeight="1" x14ac:dyDescent="0.3">
      <c r="A875" s="7"/>
      <c r="B875" s="1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5.75" customHeight="1" x14ac:dyDescent="0.3">
      <c r="A876" s="7"/>
      <c r="B876" s="1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5.75" customHeight="1" x14ac:dyDescent="0.3">
      <c r="A877" s="7"/>
      <c r="B877" s="1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5.75" customHeight="1" x14ac:dyDescent="0.3">
      <c r="A878" s="7"/>
      <c r="B878" s="1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5.75" customHeight="1" x14ac:dyDescent="0.3">
      <c r="A879" s="7"/>
      <c r="B879" s="1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5.75" customHeight="1" x14ac:dyDescent="0.3">
      <c r="A880" s="7"/>
      <c r="B880" s="1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5.75" customHeight="1" x14ac:dyDescent="0.3">
      <c r="A881" s="7"/>
      <c r="B881" s="1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5.75" customHeight="1" x14ac:dyDescent="0.3">
      <c r="A882" s="7"/>
      <c r="B882" s="1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5.75" customHeight="1" x14ac:dyDescent="0.3">
      <c r="A883" s="7"/>
      <c r="B883" s="1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5.75" customHeight="1" x14ac:dyDescent="0.3">
      <c r="A884" s="7"/>
      <c r="B884" s="1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5.75" customHeight="1" x14ac:dyDescent="0.3">
      <c r="A885" s="7"/>
      <c r="B885" s="1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5.75" customHeight="1" x14ac:dyDescent="0.3">
      <c r="A886" s="7"/>
      <c r="B886" s="1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5.75" customHeight="1" x14ac:dyDescent="0.3">
      <c r="A887" s="7"/>
      <c r="B887" s="1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5.75" customHeight="1" x14ac:dyDescent="0.3">
      <c r="A888" s="7"/>
      <c r="B888" s="1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5.75" customHeight="1" x14ac:dyDescent="0.3">
      <c r="A889" s="7"/>
      <c r="B889" s="1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5.75" customHeight="1" x14ac:dyDescent="0.3">
      <c r="A890" s="7"/>
      <c r="B890" s="1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5.75" customHeight="1" x14ac:dyDescent="0.3">
      <c r="A891" s="7"/>
      <c r="B891" s="1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5.75" customHeight="1" x14ac:dyDescent="0.3">
      <c r="A892" s="7"/>
      <c r="B892" s="1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5.75" customHeight="1" x14ac:dyDescent="0.3">
      <c r="A893" s="7"/>
      <c r="B893" s="1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5.75" customHeight="1" x14ac:dyDescent="0.3">
      <c r="A894" s="7"/>
      <c r="B894" s="1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5.75" customHeight="1" x14ac:dyDescent="0.3">
      <c r="A895" s="7"/>
      <c r="B895" s="1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5.75" customHeight="1" x14ac:dyDescent="0.3">
      <c r="A896" s="7"/>
      <c r="B896" s="1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5.75" customHeight="1" x14ac:dyDescent="0.3">
      <c r="A897" s="7"/>
      <c r="B897" s="1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5.75" customHeight="1" x14ac:dyDescent="0.3">
      <c r="A898" s="7"/>
      <c r="B898" s="1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5.75" customHeight="1" x14ac:dyDescent="0.3">
      <c r="A899" s="7"/>
      <c r="B899" s="1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5.75" customHeight="1" x14ac:dyDescent="0.3">
      <c r="A900" s="7"/>
      <c r="B900" s="1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5.75" customHeight="1" x14ac:dyDescent="0.3">
      <c r="A901" s="7"/>
      <c r="B901" s="1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5.75" customHeight="1" x14ac:dyDescent="0.3">
      <c r="A902" s="7"/>
      <c r="B902" s="1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5.75" customHeight="1" x14ac:dyDescent="0.3">
      <c r="A903" s="7"/>
      <c r="B903" s="1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5.75" customHeight="1" x14ac:dyDescent="0.3">
      <c r="A904" s="7"/>
      <c r="B904" s="1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5.75" customHeight="1" x14ac:dyDescent="0.3">
      <c r="A905" s="7"/>
      <c r="B905" s="1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5.75" customHeight="1" x14ac:dyDescent="0.3">
      <c r="A906" s="7"/>
      <c r="B906" s="1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5.75" customHeight="1" x14ac:dyDescent="0.3">
      <c r="A907" s="7"/>
      <c r="B907" s="1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5.75" customHeight="1" x14ac:dyDescent="0.3">
      <c r="A908" s="7"/>
      <c r="B908" s="1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5.75" customHeight="1" x14ac:dyDescent="0.3">
      <c r="A909" s="7"/>
      <c r="B909" s="1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5.75" customHeight="1" x14ac:dyDescent="0.3">
      <c r="A910" s="7"/>
      <c r="B910" s="1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5.75" customHeight="1" x14ac:dyDescent="0.3">
      <c r="A911" s="7"/>
      <c r="B911" s="1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5.75" customHeight="1" x14ac:dyDescent="0.3">
      <c r="A912" s="7"/>
      <c r="B912" s="1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5.75" customHeight="1" x14ac:dyDescent="0.3">
      <c r="A913" s="7"/>
      <c r="B913" s="1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5.75" customHeight="1" x14ac:dyDescent="0.3">
      <c r="A914" s="7"/>
      <c r="B914" s="1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5.75" customHeight="1" x14ac:dyDescent="0.3">
      <c r="A915" s="7"/>
      <c r="B915" s="1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5.75" customHeight="1" x14ac:dyDescent="0.3">
      <c r="A916" s="7"/>
      <c r="B916" s="1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5.75" customHeight="1" x14ac:dyDescent="0.3">
      <c r="A917" s="7"/>
      <c r="B917" s="1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5.75" customHeight="1" x14ac:dyDescent="0.3">
      <c r="A918" s="7"/>
      <c r="B918" s="1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5.75" customHeight="1" x14ac:dyDescent="0.3">
      <c r="A919" s="7"/>
      <c r="B919" s="1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5.75" customHeight="1" x14ac:dyDescent="0.3">
      <c r="A920" s="7"/>
      <c r="B920" s="1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5.75" customHeight="1" x14ac:dyDescent="0.3">
      <c r="A921" s="7"/>
      <c r="B921" s="1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15.75" customHeight="1" x14ac:dyDescent="0.3">
      <c r="A922" s="7"/>
      <c r="B922" s="1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15.75" customHeight="1" x14ac:dyDescent="0.3">
      <c r="A923" s="7"/>
      <c r="B923" s="1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15.75" customHeight="1" x14ac:dyDescent="0.3">
      <c r="A924" s="7"/>
      <c r="B924" s="1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15.75" customHeight="1" x14ac:dyDescent="0.3">
      <c r="A925" s="7"/>
      <c r="B925" s="1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15.75" customHeight="1" x14ac:dyDescent="0.3">
      <c r="A926" s="7"/>
      <c r="B926" s="1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15.75" customHeight="1" x14ac:dyDescent="0.3">
      <c r="A927" s="7"/>
      <c r="B927" s="1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15.75" customHeight="1" x14ac:dyDescent="0.3">
      <c r="A928" s="7"/>
      <c r="B928" s="1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15.75" customHeight="1" x14ac:dyDescent="0.3">
      <c r="A929" s="7"/>
      <c r="B929" s="1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15.75" customHeight="1" x14ac:dyDescent="0.3">
      <c r="A930" s="7"/>
      <c r="B930" s="1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15.75" customHeight="1" x14ac:dyDescent="0.3">
      <c r="A931" s="7"/>
      <c r="B931" s="1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15.75" customHeight="1" x14ac:dyDescent="0.3">
      <c r="A932" s="7"/>
      <c r="B932" s="1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15.75" customHeight="1" x14ac:dyDescent="0.3">
      <c r="A933" s="7"/>
      <c r="B933" s="1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15.75" customHeight="1" x14ac:dyDescent="0.3">
      <c r="A934" s="7"/>
      <c r="B934" s="1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15.75" customHeight="1" x14ac:dyDescent="0.3">
      <c r="A935" s="7"/>
      <c r="B935" s="1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15.75" customHeight="1" x14ac:dyDescent="0.3">
      <c r="A936" s="7"/>
      <c r="B936" s="1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15.75" customHeight="1" x14ac:dyDescent="0.3">
      <c r="A937" s="7"/>
      <c r="B937" s="1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15.75" customHeight="1" x14ac:dyDescent="0.3">
      <c r="A938" s="7"/>
      <c r="B938" s="1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15.75" customHeight="1" x14ac:dyDescent="0.3">
      <c r="A939" s="7"/>
      <c r="B939" s="1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15.75" customHeight="1" x14ac:dyDescent="0.3">
      <c r="A940" s="7"/>
      <c r="B940" s="1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15.75" customHeight="1" x14ac:dyDescent="0.3">
      <c r="A941" s="7"/>
      <c r="B941" s="1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15.75" customHeight="1" x14ac:dyDescent="0.3">
      <c r="A942" s="7"/>
      <c r="B942" s="1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15.75" customHeight="1" x14ac:dyDescent="0.3">
      <c r="A943" s="7"/>
      <c r="B943" s="1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15.75" customHeight="1" x14ac:dyDescent="0.3">
      <c r="A944" s="7"/>
      <c r="B944" s="1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15.75" customHeight="1" x14ac:dyDescent="0.3">
      <c r="A945" s="7"/>
      <c r="B945" s="1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15.75" customHeight="1" x14ac:dyDescent="0.3">
      <c r="A946" s="7"/>
      <c r="B946" s="1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15.75" customHeight="1" x14ac:dyDescent="0.3">
      <c r="A947" s="7"/>
      <c r="B947" s="1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15.75" customHeight="1" x14ac:dyDescent="0.3">
      <c r="A948" s="7"/>
      <c r="B948" s="1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15.75" customHeight="1" x14ac:dyDescent="0.3">
      <c r="A949" s="7"/>
      <c r="B949" s="1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15.75" customHeight="1" x14ac:dyDescent="0.3">
      <c r="A950" s="7"/>
      <c r="B950" s="1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15.75" customHeight="1" x14ac:dyDescent="0.3">
      <c r="A951" s="7"/>
      <c r="B951" s="1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15.75" customHeight="1" x14ac:dyDescent="0.3">
      <c r="A952" s="7"/>
      <c r="B952" s="1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15.75" customHeight="1" x14ac:dyDescent="0.3">
      <c r="A953" s="7"/>
      <c r="B953" s="1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15.75" customHeight="1" x14ac:dyDescent="0.3">
      <c r="A954" s="7"/>
      <c r="B954" s="1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15.75" customHeight="1" x14ac:dyDescent="0.3">
      <c r="A955" s="7"/>
      <c r="B955" s="1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15.75" customHeight="1" x14ac:dyDescent="0.3">
      <c r="A956" s="7"/>
      <c r="B956" s="1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15.75" customHeight="1" x14ac:dyDescent="0.3">
      <c r="A957" s="7"/>
      <c r="B957" s="1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15.75" customHeight="1" x14ac:dyDescent="0.3">
      <c r="A958" s="7"/>
      <c r="B958" s="1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15.75" customHeight="1" x14ac:dyDescent="0.3">
      <c r="A959" s="7"/>
      <c r="B959" s="1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15.75" customHeight="1" x14ac:dyDescent="0.3">
      <c r="A960" s="7"/>
      <c r="B960" s="1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15.75" customHeight="1" x14ac:dyDescent="0.3">
      <c r="A961" s="7"/>
      <c r="B961" s="1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15.75" customHeight="1" x14ac:dyDescent="0.3">
      <c r="A962" s="7"/>
      <c r="B962" s="1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15.75" customHeight="1" x14ac:dyDescent="0.3">
      <c r="A963" s="7"/>
      <c r="B963" s="1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15.75" customHeight="1" x14ac:dyDescent="0.3">
      <c r="A964" s="7"/>
      <c r="B964" s="1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15.75" customHeight="1" x14ac:dyDescent="0.3">
      <c r="A965" s="7"/>
      <c r="B965" s="1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ht="15.75" customHeight="1" x14ac:dyDescent="0.3">
      <c r="A966" s="7"/>
      <c r="B966" s="1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ht="15.75" customHeight="1" x14ac:dyDescent="0.3">
      <c r="A967" s="7"/>
      <c r="B967" s="1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ht="15.75" customHeight="1" x14ac:dyDescent="0.3">
      <c r="A968" s="7"/>
      <c r="B968" s="1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ht="15.75" customHeight="1" x14ac:dyDescent="0.3">
      <c r="A969" s="7"/>
      <c r="B969" s="1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ht="15.75" customHeight="1" x14ac:dyDescent="0.3">
      <c r="A970" s="7"/>
      <c r="B970" s="1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ht="15.75" customHeight="1" x14ac:dyDescent="0.3">
      <c r="A971" s="7"/>
      <c r="B971" s="1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ht="15.75" customHeight="1" x14ac:dyDescent="0.3">
      <c r="A972" s="7"/>
      <c r="B972" s="1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ht="15.75" customHeight="1" x14ac:dyDescent="0.3">
      <c r="A973" s="7"/>
      <c r="B973" s="1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ht="15.75" customHeight="1" x14ac:dyDescent="0.3">
      <c r="A974" s="7"/>
      <c r="B974" s="1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ht="15.75" customHeight="1" x14ac:dyDescent="0.3">
      <c r="A975" s="7"/>
      <c r="B975" s="1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ht="15.75" customHeight="1" x14ac:dyDescent="0.3">
      <c r="A976" s="7"/>
      <c r="B976" s="1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ht="15.75" customHeight="1" x14ac:dyDescent="0.3">
      <c r="A977" s="7"/>
      <c r="B977" s="1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ht="15.75" customHeight="1" x14ac:dyDescent="0.3">
      <c r="A978" s="7"/>
      <c r="B978" s="1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ht="15.75" customHeight="1" x14ac:dyDescent="0.3">
      <c r="A979" s="7"/>
      <c r="B979" s="1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ht="15.75" customHeight="1" x14ac:dyDescent="0.3">
      <c r="A980" s="7"/>
      <c r="B980" s="1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ht="15.75" customHeight="1" x14ac:dyDescent="0.3">
      <c r="A981" s="7"/>
      <c r="B981" s="1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ht="15.75" customHeight="1" x14ac:dyDescent="0.3">
      <c r="A982" s="7"/>
      <c r="B982" s="1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ht="15.75" customHeight="1" x14ac:dyDescent="0.3">
      <c r="A983" s="7"/>
      <c r="B983" s="1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ht="15.75" customHeight="1" x14ac:dyDescent="0.3">
      <c r="A984" s="7"/>
      <c r="B984" s="1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ht="15.75" customHeight="1" x14ac:dyDescent="0.3">
      <c r="A985" s="7"/>
      <c r="B985" s="1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ht="15.75" customHeight="1" x14ac:dyDescent="0.3">
      <c r="A986" s="7"/>
      <c r="B986" s="1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ht="15.75" customHeight="1" x14ac:dyDescent="0.3">
      <c r="A987" s="7"/>
      <c r="B987" s="1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ht="15.75" customHeight="1" x14ac:dyDescent="0.3">
      <c r="A988" s="7"/>
      <c r="B988" s="1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ht="15.75" customHeight="1" x14ac:dyDescent="0.3">
      <c r="A989" s="7"/>
      <c r="B989" s="1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ht="15.75" customHeight="1" x14ac:dyDescent="0.3">
      <c r="A990" s="7"/>
      <c r="B990" s="1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ht="15.75" customHeight="1" x14ac:dyDescent="0.3">
      <c r="A991" s="7"/>
      <c r="B991" s="1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ht="15.75" customHeight="1" x14ac:dyDescent="0.3">
      <c r="A992" s="7"/>
      <c r="B992" s="1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ht="15.75" customHeight="1" x14ac:dyDescent="0.3">
      <c r="A993" s="7"/>
      <c r="B993" s="1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ht="15.75" customHeight="1" x14ac:dyDescent="0.3">
      <c r="A994" s="7"/>
      <c r="B994" s="1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ht="15.75" customHeight="1" x14ac:dyDescent="0.3">
      <c r="A995" s="7"/>
      <c r="B995" s="1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ht="15.75" customHeight="1" x14ac:dyDescent="0.3">
      <c r="A996" s="7"/>
      <c r="B996" s="1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ht="15.75" customHeight="1" x14ac:dyDescent="0.3">
      <c r="A997" s="7"/>
      <c r="B997" s="1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ht="15.75" customHeight="1" x14ac:dyDescent="0.3">
      <c r="A998" s="7"/>
      <c r="B998" s="1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ht="15.75" customHeight="1" x14ac:dyDescent="0.3">
      <c r="A999" s="7"/>
      <c r="B999" s="19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ht="15.75" customHeight="1" x14ac:dyDescent="0.3">
      <c r="A1000" s="7"/>
      <c r="B1000" s="19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pageMargins left="0.7" right="0.7" top="0.75" bottom="0.75" header="0" footer="0"/>
  <pageSetup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0.09765625" customWidth="1"/>
    <col min="2" max="2" width="40.69921875" customWidth="1"/>
    <col min="3" max="3" width="6.8984375" customWidth="1"/>
    <col min="4" max="4" width="40.69921875" customWidth="1"/>
    <col min="5" max="5" width="6.8984375" customWidth="1"/>
    <col min="6" max="26" width="10.09765625" customWidth="1"/>
  </cols>
  <sheetData>
    <row r="1" spans="1:26" ht="14.4" x14ac:dyDescent="0.3">
      <c r="A1" s="7"/>
      <c r="B1" s="34" t="s">
        <v>341</v>
      </c>
      <c r="C1" s="34"/>
      <c r="D1" s="7"/>
      <c r="E1" s="3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1" x14ac:dyDescent="0.3">
      <c r="A2" s="7"/>
      <c r="B2" s="35" t="s">
        <v>342</v>
      </c>
      <c r="C2" s="36" t="s">
        <v>343</v>
      </c>
      <c r="D2" s="35" t="s">
        <v>344</v>
      </c>
      <c r="E2" s="36" t="s">
        <v>343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4" x14ac:dyDescent="0.3">
      <c r="A3" s="7"/>
      <c r="B3" s="37" t="s">
        <v>345</v>
      </c>
      <c r="C3" s="38">
        <v>20</v>
      </c>
      <c r="D3" s="37" t="s">
        <v>346</v>
      </c>
      <c r="E3" s="38">
        <v>10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4" x14ac:dyDescent="0.3">
      <c r="A4" s="7"/>
      <c r="B4" s="37" t="s">
        <v>347</v>
      </c>
      <c r="C4" s="38">
        <v>15</v>
      </c>
      <c r="D4" s="37" t="s">
        <v>43</v>
      </c>
      <c r="E4" s="3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4" x14ac:dyDescent="0.3">
      <c r="A5" s="7"/>
      <c r="B5" s="37" t="s">
        <v>348</v>
      </c>
      <c r="C5" s="38">
        <v>10</v>
      </c>
      <c r="D5" s="37"/>
      <c r="E5" s="3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4" x14ac:dyDescent="0.3">
      <c r="A6" s="7"/>
      <c r="B6" s="37" t="s">
        <v>349</v>
      </c>
      <c r="C6" s="38">
        <v>5</v>
      </c>
      <c r="D6" s="37"/>
      <c r="E6" s="3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4" x14ac:dyDescent="0.3">
      <c r="A7" s="7"/>
      <c r="B7" s="37" t="s">
        <v>43</v>
      </c>
      <c r="C7" s="38"/>
      <c r="D7" s="37"/>
      <c r="E7" s="3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4" x14ac:dyDescent="0.3">
      <c r="A8" s="7"/>
      <c r="B8" s="37"/>
      <c r="C8" s="38"/>
      <c r="D8" s="37"/>
      <c r="E8" s="3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 x14ac:dyDescent="0.3">
      <c r="A9" s="7"/>
      <c r="B9" s="37"/>
      <c r="C9" s="38"/>
      <c r="D9" s="37"/>
      <c r="E9" s="3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4" x14ac:dyDescent="0.3">
      <c r="A10" s="7"/>
      <c r="B10" s="37"/>
      <c r="C10" s="38"/>
      <c r="D10" s="37"/>
      <c r="E10" s="3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4" x14ac:dyDescent="0.3">
      <c r="A11" s="7"/>
      <c r="B11" s="37"/>
      <c r="C11" s="38"/>
      <c r="D11" s="37"/>
      <c r="E11" s="3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" x14ac:dyDescent="0.3">
      <c r="A12" s="7"/>
      <c r="B12" s="35" t="s">
        <v>350</v>
      </c>
      <c r="C12" s="36" t="s">
        <v>343</v>
      </c>
      <c r="D12" s="35" t="s">
        <v>351</v>
      </c>
      <c r="E12" s="36" t="s">
        <v>343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4" x14ac:dyDescent="0.3">
      <c r="A13" s="7"/>
      <c r="B13" s="37" t="s">
        <v>352</v>
      </c>
      <c r="C13" s="38">
        <v>5</v>
      </c>
      <c r="D13" s="37" t="s">
        <v>353</v>
      </c>
      <c r="E13" s="38">
        <v>15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4" x14ac:dyDescent="0.3">
      <c r="A14" s="7"/>
      <c r="B14" s="37" t="s">
        <v>43</v>
      </c>
      <c r="C14" s="38"/>
      <c r="D14" s="37" t="s">
        <v>43</v>
      </c>
      <c r="E14" s="3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4" x14ac:dyDescent="0.3">
      <c r="A15" s="7"/>
      <c r="B15" s="37"/>
      <c r="C15" s="38"/>
      <c r="D15" s="37"/>
      <c r="E15" s="3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4" x14ac:dyDescent="0.3">
      <c r="A16" s="7"/>
      <c r="B16" s="37"/>
      <c r="C16" s="38"/>
      <c r="D16" s="37"/>
      <c r="E16" s="3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4" x14ac:dyDescent="0.3">
      <c r="A17" s="7"/>
      <c r="B17" s="37"/>
      <c r="C17" s="38"/>
      <c r="D17" s="37"/>
      <c r="E17" s="3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4" x14ac:dyDescent="0.3">
      <c r="A18" s="7"/>
      <c r="B18" s="37"/>
      <c r="C18" s="38"/>
      <c r="D18" s="37"/>
      <c r="E18" s="3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4" x14ac:dyDescent="0.3">
      <c r="A19" s="7"/>
      <c r="B19" s="37"/>
      <c r="C19" s="38"/>
      <c r="D19" s="37"/>
      <c r="E19" s="3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4" x14ac:dyDescent="0.3">
      <c r="A20" s="7"/>
      <c r="B20" s="37"/>
      <c r="C20" s="38"/>
      <c r="D20" s="37"/>
      <c r="E20" s="3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7"/>
      <c r="B21" s="37"/>
      <c r="C21" s="38"/>
      <c r="D21" s="37"/>
      <c r="E21" s="3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69" customHeight="1" x14ac:dyDescent="0.3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/>
      <c r="B36" s="7" t="s">
        <v>44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B21" sqref="B21"/>
    </sheetView>
  </sheetViews>
  <sheetFormatPr baseColWidth="10" defaultColWidth="12.59765625" defaultRowHeight="15" customHeight="1" x14ac:dyDescent="0.25"/>
  <cols>
    <col min="1" max="1" width="43.59765625" customWidth="1"/>
    <col min="2" max="5" width="27.8984375" customWidth="1"/>
    <col min="6" max="26" width="10.09765625" customWidth="1"/>
  </cols>
  <sheetData>
    <row r="1" spans="1:26" ht="20.399999999999999" x14ac:dyDescent="0.3">
      <c r="A1" s="39" t="s">
        <v>354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x14ac:dyDescent="0.3">
      <c r="A2" s="40" t="s">
        <v>355</v>
      </c>
      <c r="B2" s="231" t="s">
        <v>48</v>
      </c>
      <c r="C2" s="231"/>
      <c r="D2" s="231"/>
      <c r="E2" s="231"/>
      <c r="F2" s="41"/>
      <c r="G2" s="4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5" customHeight="1" x14ac:dyDescent="0.3">
      <c r="A3" s="7" t="s">
        <v>356</v>
      </c>
      <c r="B3" s="15">
        <v>26</v>
      </c>
      <c r="C3" s="15">
        <v>27</v>
      </c>
      <c r="D3" s="15">
        <v>28</v>
      </c>
      <c r="E3" s="15">
        <v>29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4" x14ac:dyDescent="0.3">
      <c r="A4" s="7"/>
      <c r="B4" s="15" t="s">
        <v>69</v>
      </c>
      <c r="C4" s="15" t="s">
        <v>70</v>
      </c>
      <c r="D4" s="15" t="s">
        <v>71</v>
      </c>
      <c r="E4" s="15" t="s">
        <v>72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8.8" x14ac:dyDescent="0.3">
      <c r="A5" s="7"/>
      <c r="B5" s="213" t="s">
        <v>86</v>
      </c>
      <c r="C5" s="213" t="s">
        <v>87</v>
      </c>
      <c r="D5" s="213" t="s">
        <v>88</v>
      </c>
      <c r="E5" s="213" t="s">
        <v>89</v>
      </c>
      <c r="F5" s="17"/>
      <c r="G5" s="17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3.2" x14ac:dyDescent="0.3">
      <c r="A6" s="7"/>
      <c r="B6" s="17" t="s">
        <v>95</v>
      </c>
      <c r="C6" s="185" t="s">
        <v>96</v>
      </c>
      <c r="D6" s="185" t="s">
        <v>97</v>
      </c>
      <c r="E6" s="167" t="s">
        <v>98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4" x14ac:dyDescent="0.3">
      <c r="A7" s="7"/>
      <c r="B7" s="17" t="s">
        <v>106</v>
      </c>
      <c r="C7" s="17" t="s">
        <v>106</v>
      </c>
      <c r="D7" s="17" t="s">
        <v>106</v>
      </c>
      <c r="E7" s="17" t="s">
        <v>106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4" x14ac:dyDescent="0.3">
      <c r="A8" s="7"/>
      <c r="B8" s="52" t="s">
        <v>122</v>
      </c>
      <c r="C8" s="52" t="s">
        <v>124</v>
      </c>
      <c r="D8" s="50" t="s">
        <v>115</v>
      </c>
      <c r="E8" s="50" t="s">
        <v>115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 x14ac:dyDescent="0.3">
      <c r="A9" s="7"/>
      <c r="B9" s="55" t="s">
        <v>136</v>
      </c>
      <c r="C9" s="55" t="s">
        <v>137</v>
      </c>
      <c r="D9" s="55" t="s">
        <v>138</v>
      </c>
      <c r="E9" s="53" t="s">
        <v>139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4" x14ac:dyDescent="0.3">
      <c r="A10" s="7"/>
      <c r="B10" s="58" t="s">
        <v>156</v>
      </c>
      <c r="C10" s="58" t="s">
        <v>157</v>
      </c>
      <c r="D10" s="58" t="s">
        <v>158</v>
      </c>
      <c r="E10" s="56" t="s">
        <v>159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4" x14ac:dyDescent="0.3">
      <c r="A11" s="7"/>
      <c r="B11" s="60" t="s">
        <v>169</v>
      </c>
      <c r="C11" s="60" t="s">
        <v>170</v>
      </c>
      <c r="D11" s="60" t="s">
        <v>171</v>
      </c>
      <c r="E11" s="59" t="s">
        <v>172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4" x14ac:dyDescent="0.3">
      <c r="A12" s="7"/>
      <c r="B12" s="63" t="s">
        <v>191</v>
      </c>
      <c r="C12" s="63" t="s">
        <v>193</v>
      </c>
      <c r="D12" s="63" t="s">
        <v>194</v>
      </c>
      <c r="E12" s="61" t="s">
        <v>195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4" x14ac:dyDescent="0.3">
      <c r="A13" s="19" t="s">
        <v>283</v>
      </c>
      <c r="B13" s="7" t="e">
        <f>'Grille de métriques'!AB12</f>
        <v>#NUM!</v>
      </c>
      <c r="C13" s="7" t="e">
        <f>'Grille de métriques'!AC12</f>
        <v>#NUM!</v>
      </c>
      <c r="D13" s="7" t="e">
        <f>'Grille de métriques'!AD12</f>
        <v>#NUM!</v>
      </c>
      <c r="E13" s="7" t="e">
        <f>'Grille de métriques'!AE12</f>
        <v>#NUM!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4" x14ac:dyDescent="0.3">
      <c r="A14" s="19" t="s">
        <v>285</v>
      </c>
      <c r="B14" s="7" t="e">
        <f>'Grille de métriques'!AB20</f>
        <v>#NUM!</v>
      </c>
      <c r="C14" s="7" t="e">
        <f>'Grille de métriques'!AC20</f>
        <v>#NUM!</v>
      </c>
      <c r="D14" s="7" t="e">
        <f>'Grille de métriques'!AD20</f>
        <v>#NUM!</v>
      </c>
      <c r="E14" s="7" t="e">
        <f>'Grille de métriques'!AE20</f>
        <v>#NUM!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4" x14ac:dyDescent="0.3">
      <c r="A15" s="19" t="s">
        <v>286</v>
      </c>
      <c r="B15" s="7" t="e">
        <f>'Grille de métriques'!AB28</f>
        <v>#NUM!</v>
      </c>
      <c r="C15" s="7" t="e">
        <f>'Grille de métriques'!AC28</f>
        <v>#NUM!</v>
      </c>
      <c r="D15" s="7" t="e">
        <f>'Grille de métriques'!AD28</f>
        <v>#NUM!</v>
      </c>
      <c r="E15" s="7" t="e">
        <f>'Grille de métriques'!AE28</f>
        <v>#NUM!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4" x14ac:dyDescent="0.3">
      <c r="A16" s="19" t="s">
        <v>288</v>
      </c>
      <c r="B16" s="7" t="e">
        <f>'Grille de métriques'!AB36</f>
        <v>#NUM!</v>
      </c>
      <c r="C16" s="7" t="e">
        <f>'Grille de métriques'!AC36</f>
        <v>#NUM!</v>
      </c>
      <c r="D16" s="7" t="e">
        <f>'Grille de métriques'!AD36</f>
        <v>#NUM!</v>
      </c>
      <c r="E16" s="7" t="e">
        <f>'Grille de métriques'!AE36</f>
        <v>#NUM!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4" x14ac:dyDescent="0.3">
      <c r="A17" s="19" t="s">
        <v>289</v>
      </c>
      <c r="B17" s="7" t="e">
        <f>'Grille de métriques'!AB44</f>
        <v>#NUM!</v>
      </c>
      <c r="C17" s="7" t="e">
        <f>'Grille de métriques'!AC44</f>
        <v>#NUM!</v>
      </c>
      <c r="D17" s="7" t="e">
        <f>'Grille de métriques'!AD44</f>
        <v>#NUM!</v>
      </c>
      <c r="E17" s="7" t="e">
        <f>'Grille de métriques'!AE44</f>
        <v>#NUM!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4" x14ac:dyDescent="0.3">
      <c r="A18" s="19" t="s">
        <v>329</v>
      </c>
      <c r="B18" s="7">
        <f>'Grille de métriques'!AB87</f>
        <v>0</v>
      </c>
      <c r="C18" s="7">
        <f>'Grille de métriques'!AC87</f>
        <v>0</v>
      </c>
      <c r="D18" s="7">
        <f>'Grille de métriques'!AD87</f>
        <v>0</v>
      </c>
      <c r="E18" s="7">
        <f>'Grille de métriques'!AE87</f>
        <v>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4" x14ac:dyDescent="0.3">
      <c r="A19" s="32"/>
      <c r="B19" s="15" t="s">
        <v>69</v>
      </c>
      <c r="C19" s="15" t="s">
        <v>70</v>
      </c>
      <c r="D19" s="15" t="s">
        <v>71</v>
      </c>
      <c r="E19" s="15" t="s">
        <v>72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4" x14ac:dyDescent="0.3">
      <c r="A20" s="21" t="s">
        <v>25</v>
      </c>
      <c r="B20" s="7">
        <f>Formulaire!AA15</f>
        <v>0</v>
      </c>
      <c r="C20" s="7">
        <f>Formulaire!AB15</f>
        <v>0</v>
      </c>
      <c r="D20" s="7">
        <f>Formulaire!AC15</f>
        <v>0</v>
      </c>
      <c r="E20" s="7">
        <f>Formulaire!AD15</f>
        <v>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21" t="s">
        <v>35</v>
      </c>
      <c r="B21" s="7">
        <f>Formulaire!AA17</f>
        <v>0</v>
      </c>
      <c r="C21" s="7">
        <f>Formulaire!AB17</f>
        <v>0</v>
      </c>
      <c r="D21" s="7">
        <f>Formulaire!AC17</f>
        <v>0</v>
      </c>
      <c r="E21" s="7">
        <f>Formulaire!AD17</f>
        <v>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21" t="s">
        <v>291</v>
      </c>
      <c r="B22" s="7">
        <f>Formulaire!AA19</f>
        <v>0</v>
      </c>
      <c r="C22" s="7">
        <f>Formulaire!AB19</f>
        <v>0</v>
      </c>
      <c r="D22" s="7">
        <f>Formulaire!AC19</f>
        <v>0</v>
      </c>
      <c r="E22" s="7">
        <f>Formulaire!AD19</f>
        <v>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21" t="s">
        <v>292</v>
      </c>
      <c r="B23" s="7">
        <f>Formulaire!AA21</f>
        <v>0</v>
      </c>
      <c r="C23" s="7">
        <f>Formulaire!AB21</f>
        <v>0</v>
      </c>
      <c r="D23" s="7">
        <f>Formulaire!AC21</f>
        <v>0</v>
      </c>
      <c r="E23" s="7">
        <f>Formulaire!AD21</f>
        <v>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21" t="s">
        <v>293</v>
      </c>
      <c r="B24" s="7">
        <f>Formulaire!AA23</f>
        <v>0</v>
      </c>
      <c r="C24" s="7">
        <f>Formulaire!AB23</f>
        <v>0</v>
      </c>
      <c r="D24" s="7">
        <f>Formulaire!AC23</f>
        <v>0</v>
      </c>
      <c r="E24" s="7">
        <f>Formulaire!AD23</f>
        <v>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21" t="s">
        <v>294</v>
      </c>
      <c r="B25" s="7">
        <f>Formulaire!AA25</f>
        <v>0</v>
      </c>
      <c r="C25" s="7">
        <f>Formulaire!AB25</f>
        <v>0</v>
      </c>
      <c r="D25" s="7">
        <f>Formulaire!AC25</f>
        <v>0</v>
      </c>
      <c r="E25" s="7">
        <f>Formulaire!AD25</f>
        <v>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21" t="s">
        <v>295</v>
      </c>
      <c r="B26" s="7">
        <f>Formulaire!AA27</f>
        <v>0</v>
      </c>
      <c r="C26" s="7">
        <f>Formulaire!AB27</f>
        <v>0</v>
      </c>
      <c r="D26" s="7">
        <f>Formulaire!AC27</f>
        <v>0</v>
      </c>
      <c r="E26" s="7">
        <f>Formulaire!AD27</f>
        <v>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21" t="s">
        <v>296</v>
      </c>
      <c r="B27" s="7">
        <f>Formulaire!AA29</f>
        <v>0</v>
      </c>
      <c r="C27" s="7">
        <f>Formulaire!AB29</f>
        <v>0</v>
      </c>
      <c r="D27" s="7">
        <f>Formulaire!AC29</f>
        <v>0</v>
      </c>
      <c r="E27" s="7">
        <f>Formulaire!AD29</f>
        <v>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21" t="s">
        <v>297</v>
      </c>
      <c r="B28" s="7">
        <f>Formulaire!AA31</f>
        <v>0</v>
      </c>
      <c r="C28" s="7">
        <f>Formulaire!AB31</f>
        <v>0</v>
      </c>
      <c r="D28" s="7">
        <f>Formulaire!AC31</f>
        <v>0</v>
      </c>
      <c r="E28" s="7">
        <f>Formulaire!AD31</f>
        <v>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21" t="s">
        <v>298</v>
      </c>
      <c r="B29" s="7">
        <f>Formulaire!AA33</f>
        <v>0</v>
      </c>
      <c r="C29" s="7">
        <f>Formulaire!AB33</f>
        <v>0</v>
      </c>
      <c r="D29" s="7">
        <f>Formulaire!AC33</f>
        <v>0</v>
      </c>
      <c r="E29" s="7">
        <f>Formulaire!AD33</f>
        <v>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21" t="s">
        <v>299</v>
      </c>
      <c r="B30" s="7">
        <f>Formulaire!AA35</f>
        <v>0</v>
      </c>
      <c r="C30" s="7">
        <f>Formulaire!AB35</f>
        <v>0</v>
      </c>
      <c r="D30" s="7">
        <f>Formulaire!AC35</f>
        <v>0</v>
      </c>
      <c r="E30" s="7">
        <f>Formulaire!AD35</f>
        <v>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21" t="s">
        <v>300</v>
      </c>
      <c r="B31" s="7">
        <f>Formulaire!AA37</f>
        <v>0</v>
      </c>
      <c r="C31" s="7">
        <f>Formulaire!AB37</f>
        <v>0</v>
      </c>
      <c r="D31" s="7">
        <f>Formulaire!AC37</f>
        <v>0</v>
      </c>
      <c r="E31" s="7">
        <f>Formulaire!AD37</f>
        <v>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21" t="s">
        <v>301</v>
      </c>
      <c r="B32" s="7">
        <f>Formulaire!AA39</f>
        <v>0</v>
      </c>
      <c r="C32" s="7">
        <f>Formulaire!AB39</f>
        <v>0</v>
      </c>
      <c r="D32" s="7">
        <f>Formulaire!AC39</f>
        <v>0</v>
      </c>
      <c r="E32" s="7">
        <f>Formulaire!AD39</f>
        <v>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21" t="s">
        <v>302</v>
      </c>
      <c r="B33" s="7">
        <f>Formulaire!AA41</f>
        <v>0</v>
      </c>
      <c r="C33" s="7">
        <f>Formulaire!AB41</f>
        <v>0</v>
      </c>
      <c r="D33" s="7">
        <f>Formulaire!AC41</f>
        <v>0</v>
      </c>
      <c r="E33" s="7">
        <f>Formulaire!AD41</f>
        <v>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21" t="s">
        <v>303</v>
      </c>
      <c r="B34" s="7">
        <f>Formulaire!AA43</f>
        <v>0</v>
      </c>
      <c r="C34" s="7">
        <f>Formulaire!AB43</f>
        <v>0</v>
      </c>
      <c r="D34" s="7">
        <f>Formulaire!AC43</f>
        <v>0</v>
      </c>
      <c r="E34" s="7">
        <f>Formulaire!AD43</f>
        <v>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21" t="s">
        <v>304</v>
      </c>
      <c r="B35" s="7">
        <f>Formulaire!AA45</f>
        <v>0</v>
      </c>
      <c r="C35" s="7">
        <f>Formulaire!AB45</f>
        <v>0</v>
      </c>
      <c r="D35" s="7">
        <f>Formulaire!AC45</f>
        <v>0</v>
      </c>
      <c r="E35" s="7">
        <f>Formulaire!AD45</f>
        <v>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21" t="s">
        <v>305</v>
      </c>
      <c r="B36" s="7">
        <f>Formulaire!AA47</f>
        <v>0</v>
      </c>
      <c r="C36" s="7">
        <f>Formulaire!AB47</f>
        <v>0</v>
      </c>
      <c r="D36" s="7">
        <f>Formulaire!AC47</f>
        <v>0</v>
      </c>
      <c r="E36" s="7">
        <f>Formulaire!AD47</f>
        <v>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21" t="s">
        <v>306</v>
      </c>
      <c r="B37" s="7">
        <f>Formulaire!AA49</f>
        <v>0</v>
      </c>
      <c r="C37" s="7">
        <f>Formulaire!AB49</f>
        <v>0</v>
      </c>
      <c r="D37" s="7">
        <f>Formulaire!AC49</f>
        <v>0</v>
      </c>
      <c r="E37" s="7">
        <f>Formulaire!AD49</f>
        <v>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21" t="s">
        <v>307</v>
      </c>
      <c r="B38" s="7">
        <f>Formulaire!AA51</f>
        <v>0</v>
      </c>
      <c r="C38" s="7">
        <f>Formulaire!AB51</f>
        <v>0</v>
      </c>
      <c r="D38" s="7">
        <f>Formulaire!AC51</f>
        <v>0</v>
      </c>
      <c r="E38" s="7">
        <f>Formulaire!AD51</f>
        <v>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21" t="s">
        <v>308</v>
      </c>
      <c r="B39" s="7">
        <f>Formulaire!AA53</f>
        <v>0</v>
      </c>
      <c r="C39" s="7">
        <f>Formulaire!AB53</f>
        <v>0</v>
      </c>
      <c r="D39" s="7">
        <f>Formulaire!AC53</f>
        <v>0</v>
      </c>
      <c r="E39" s="7">
        <f>Formulaire!AD53</f>
        <v>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21" t="s">
        <v>309</v>
      </c>
      <c r="B40" s="7">
        <f>Formulaire!AA55</f>
        <v>0</v>
      </c>
      <c r="C40" s="7">
        <f>Formulaire!AB55</f>
        <v>0</v>
      </c>
      <c r="D40" s="7">
        <f>Formulaire!AC55</f>
        <v>0</v>
      </c>
      <c r="E40" s="7">
        <f>Formulaire!AD55</f>
        <v>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21" t="s">
        <v>310</v>
      </c>
      <c r="B41" s="7">
        <f>Formulaire!AA57</f>
        <v>0</v>
      </c>
      <c r="C41" s="7">
        <f>Formulaire!AB57</f>
        <v>0</v>
      </c>
      <c r="D41" s="7">
        <f>Formulaire!AC57</f>
        <v>0</v>
      </c>
      <c r="E41" s="7">
        <f>Formulaire!AD57</f>
        <v>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21" t="s">
        <v>311</v>
      </c>
      <c r="B42" s="7">
        <f>Formulaire!AA59</f>
        <v>0</v>
      </c>
      <c r="C42" s="7">
        <f>Formulaire!AB59</f>
        <v>0</v>
      </c>
      <c r="D42" s="7">
        <f>Formulaire!AC59</f>
        <v>0</v>
      </c>
      <c r="E42" s="7">
        <f>Formulaire!AD59</f>
        <v>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21" t="s">
        <v>312</v>
      </c>
      <c r="B43" s="7">
        <f>Formulaire!AA61</f>
        <v>0</v>
      </c>
      <c r="C43" s="7">
        <f>Formulaire!AB61</f>
        <v>0</v>
      </c>
      <c r="D43" s="7">
        <f>Formulaire!AC61</f>
        <v>0</v>
      </c>
      <c r="E43" s="7">
        <f>Formulaire!AD61</f>
        <v>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21" t="s">
        <v>313</v>
      </c>
      <c r="B44" s="7">
        <f>Formulaire!AA63</f>
        <v>0</v>
      </c>
      <c r="C44" s="7">
        <f>Formulaire!AB63</f>
        <v>0</v>
      </c>
      <c r="D44" s="7">
        <f>Formulaire!AC63</f>
        <v>0</v>
      </c>
      <c r="E44" s="7">
        <f>Formulaire!AD63</f>
        <v>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21" t="s">
        <v>314</v>
      </c>
      <c r="B45" s="7">
        <f>Formulaire!AA65</f>
        <v>0</v>
      </c>
      <c r="C45" s="7">
        <f>Formulaire!AB65</f>
        <v>0</v>
      </c>
      <c r="D45" s="7">
        <f>Formulaire!AC65</f>
        <v>0</v>
      </c>
      <c r="E45" s="7">
        <f>Formulaire!AD65</f>
        <v>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21" t="s">
        <v>315</v>
      </c>
      <c r="B46" s="7">
        <f>Formulaire!AA67</f>
        <v>0</v>
      </c>
      <c r="C46" s="7">
        <f>Formulaire!AB67</f>
        <v>0</v>
      </c>
      <c r="D46" s="7">
        <f>Formulaire!AC67</f>
        <v>0</v>
      </c>
      <c r="E46" s="7">
        <f>Formulaire!AD67</f>
        <v>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21" t="s">
        <v>316</v>
      </c>
      <c r="B47" s="7">
        <f>Formulaire!AA69</f>
        <v>0</v>
      </c>
      <c r="C47" s="7">
        <f>Formulaire!AB69</f>
        <v>0</v>
      </c>
      <c r="D47" s="7">
        <f>Formulaire!AC69</f>
        <v>0</v>
      </c>
      <c r="E47" s="7">
        <f>Formulaire!AD69</f>
        <v>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21" t="s">
        <v>317</v>
      </c>
      <c r="B48" s="7">
        <f>Formulaire!AA71</f>
        <v>0</v>
      </c>
      <c r="C48" s="7">
        <f>Formulaire!AB71</f>
        <v>0</v>
      </c>
      <c r="D48" s="7">
        <f>Formulaire!AC71</f>
        <v>0</v>
      </c>
      <c r="E48" s="7">
        <f>Formulaire!AD71</f>
        <v>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21" t="s">
        <v>318</v>
      </c>
      <c r="B49" s="7">
        <f>Formulaire!AA73</f>
        <v>0</v>
      </c>
      <c r="C49" s="7">
        <f>Formulaire!AB73</f>
        <v>0</v>
      </c>
      <c r="D49" s="7">
        <f>Formulaire!AC73</f>
        <v>0</v>
      </c>
      <c r="E49" s="7">
        <f>Formulaire!AD73</f>
        <v>0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21" t="s">
        <v>319</v>
      </c>
      <c r="B50" s="7">
        <f>Formulaire!AA75</f>
        <v>0</v>
      </c>
      <c r="C50" s="7">
        <f>Formulaire!AB75</f>
        <v>0</v>
      </c>
      <c r="D50" s="7">
        <f>Formulaire!AC75</f>
        <v>0</v>
      </c>
      <c r="E50" s="7">
        <f>Formulaire!AD75</f>
        <v>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21" t="s">
        <v>320</v>
      </c>
      <c r="B51" s="7">
        <f>Formulaire!AA77</f>
        <v>0</v>
      </c>
      <c r="C51" s="7">
        <f>Formulaire!AB77</f>
        <v>0</v>
      </c>
      <c r="D51" s="7">
        <f>Formulaire!AC77</f>
        <v>0</v>
      </c>
      <c r="E51" s="7">
        <f>Formulaire!AD77</f>
        <v>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21" t="s">
        <v>321</v>
      </c>
      <c r="B52" s="7">
        <f>Formulaire!AA79</f>
        <v>0</v>
      </c>
      <c r="C52" s="7">
        <f>Formulaire!AB79</f>
        <v>0</v>
      </c>
      <c r="D52" s="7">
        <f>Formulaire!AC79</f>
        <v>0</v>
      </c>
      <c r="E52" s="7">
        <f>Formulaire!AD79</f>
        <v>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21" t="s">
        <v>322</v>
      </c>
      <c r="B53" s="7">
        <f>Formulaire!AA81</f>
        <v>0</v>
      </c>
      <c r="C53" s="7">
        <f>Formulaire!AB81</f>
        <v>0</v>
      </c>
      <c r="D53" s="7">
        <f>Formulaire!AC81</f>
        <v>0</v>
      </c>
      <c r="E53" s="7">
        <f>Formulaire!AD81</f>
        <v>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21" t="s">
        <v>323</v>
      </c>
      <c r="B54" s="7">
        <f>Formulaire!AA83</f>
        <v>0</v>
      </c>
      <c r="C54" s="7">
        <f>Formulaire!AB83</f>
        <v>0</v>
      </c>
      <c r="D54" s="7">
        <f>Formulaire!AC83</f>
        <v>0</v>
      </c>
      <c r="E54" s="7">
        <f>Formulaire!AD83</f>
        <v>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21" t="s">
        <v>324</v>
      </c>
      <c r="B55" s="7">
        <f>Formulaire!AA85</f>
        <v>0</v>
      </c>
      <c r="C55" s="7">
        <f>Formulaire!AB85</f>
        <v>0</v>
      </c>
      <c r="D55" s="7">
        <f>Formulaire!AC85</f>
        <v>0</v>
      </c>
      <c r="E55" s="7">
        <f>Formulaire!AD85</f>
        <v>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21" t="s">
        <v>325</v>
      </c>
      <c r="B56" s="7">
        <f>Formulaire!AA87</f>
        <v>0</v>
      </c>
      <c r="C56" s="7">
        <f>Formulaire!AB87</f>
        <v>0</v>
      </c>
      <c r="D56" s="7">
        <f>Formulaire!AC87</f>
        <v>0</v>
      </c>
      <c r="E56" s="7">
        <f>Formulaire!AD87</f>
        <v>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21" t="s">
        <v>326</v>
      </c>
      <c r="B57" s="7">
        <f>Formulaire!AA89</f>
        <v>0</v>
      </c>
      <c r="C57" s="7">
        <f>Formulaire!AB89</f>
        <v>0</v>
      </c>
      <c r="D57" s="7">
        <f>Formulaire!AC89</f>
        <v>0</v>
      </c>
      <c r="E57" s="7">
        <f>Formulaire!AD89</f>
        <v>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21" t="s">
        <v>327</v>
      </c>
      <c r="B58" s="7">
        <f>Formulaire!AA91</f>
        <v>0</v>
      </c>
      <c r="C58" s="7">
        <f>Formulaire!AB91</f>
        <v>0</v>
      </c>
      <c r="D58" s="7">
        <f>Formulaire!AC91</f>
        <v>0</v>
      </c>
      <c r="E58" s="7">
        <f>Formulaire!AD91</f>
        <v>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21" t="s">
        <v>328</v>
      </c>
      <c r="B59" s="7">
        <f>Formulaire!AA93</f>
        <v>0</v>
      </c>
      <c r="C59" s="7">
        <f>Formulaire!AB93</f>
        <v>0</v>
      </c>
      <c r="D59" s="7">
        <f>Formulaire!AC93</f>
        <v>0</v>
      </c>
      <c r="E59" s="7">
        <f>Formulaire!AD93</f>
        <v>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32"/>
      <c r="B60" s="48" t="s">
        <v>69</v>
      </c>
      <c r="C60" s="48" t="s">
        <v>70</v>
      </c>
      <c r="D60" s="48" t="s">
        <v>71</v>
      </c>
      <c r="E60" s="48" t="s">
        <v>72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19" t="s">
        <v>334</v>
      </c>
      <c r="B61" s="7">
        <f>COUNTIF(B20:B59,1)</f>
        <v>0</v>
      </c>
      <c r="C61" s="7">
        <f t="shared" ref="C61:E61" si="0">COUNTIF(C20:C59,1)</f>
        <v>0</v>
      </c>
      <c r="D61" s="7">
        <f t="shared" si="0"/>
        <v>0</v>
      </c>
      <c r="E61" s="7">
        <f t="shared" si="0"/>
        <v>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19" t="s">
        <v>335</v>
      </c>
      <c r="B62" s="7">
        <f>COUNTIF(B20:B59,2)</f>
        <v>0</v>
      </c>
      <c r="C62" s="7">
        <f t="shared" ref="C62:E62" si="1">COUNTIF(C20:C59,2)</f>
        <v>0</v>
      </c>
      <c r="D62" s="7">
        <f t="shared" si="1"/>
        <v>0</v>
      </c>
      <c r="E62" s="7">
        <f t="shared" si="1"/>
        <v>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19" t="s">
        <v>336</v>
      </c>
      <c r="B63" s="7">
        <f>COUNTIF(B20:B59,3)</f>
        <v>0</v>
      </c>
      <c r="C63" s="7">
        <f t="shared" ref="C63:E63" si="2">COUNTIF(C20:C59,3)</f>
        <v>0</v>
      </c>
      <c r="D63" s="7">
        <f t="shared" si="2"/>
        <v>0</v>
      </c>
      <c r="E63" s="7">
        <f t="shared" si="2"/>
        <v>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19" t="s">
        <v>337</v>
      </c>
      <c r="B64" s="7">
        <f>COUNTIF(B20:B59,4)</f>
        <v>0</v>
      </c>
      <c r="C64" s="7">
        <f t="shared" ref="C64:E64" si="3">COUNTIF(C20:C59,4)</f>
        <v>0</v>
      </c>
      <c r="D64" s="7">
        <f t="shared" si="3"/>
        <v>0</v>
      </c>
      <c r="E64" s="7">
        <f t="shared" si="3"/>
        <v>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19" t="s">
        <v>338</v>
      </c>
      <c r="B65" s="7">
        <f>COUNTIF(B20:B59,5)</f>
        <v>0</v>
      </c>
      <c r="C65" s="7">
        <f t="shared" ref="C65:E65" si="4">COUNTIF(C20:C59,5)</f>
        <v>0</v>
      </c>
      <c r="D65" s="7">
        <f t="shared" si="4"/>
        <v>0</v>
      </c>
      <c r="E65" s="7">
        <f t="shared" si="4"/>
        <v>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69" customHeight="1" x14ac:dyDescent="0.3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 t="s">
        <v>44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B2:E2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I25" sqref="I25"/>
    </sheetView>
  </sheetViews>
  <sheetFormatPr baseColWidth="10" defaultColWidth="12.59765625" defaultRowHeight="15" customHeight="1" x14ac:dyDescent="0.25"/>
  <cols>
    <col min="1" max="1" width="43.59765625" customWidth="1"/>
    <col min="2" max="4" width="15.3984375" customWidth="1"/>
    <col min="5" max="6" width="10" customWidth="1"/>
    <col min="7" max="26" width="9.3984375" customWidth="1"/>
  </cols>
  <sheetData>
    <row r="1" spans="1:26" ht="20.399999999999999" x14ac:dyDescent="0.3">
      <c r="A1" s="39" t="s">
        <v>528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x14ac:dyDescent="0.3">
      <c r="A2" s="40"/>
      <c r="B2" s="231" t="s">
        <v>528</v>
      </c>
      <c r="C2" s="236"/>
      <c r="D2" s="23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4" x14ac:dyDescent="0.3">
      <c r="A3" s="7" t="s">
        <v>356</v>
      </c>
      <c r="B3" s="15">
        <v>34</v>
      </c>
      <c r="C3" s="15">
        <v>35</v>
      </c>
      <c r="D3" s="15">
        <v>36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4" x14ac:dyDescent="0.3">
      <c r="A4" s="7"/>
      <c r="B4" s="15" t="s">
        <v>76</v>
      </c>
      <c r="C4" s="15" t="s">
        <v>77</v>
      </c>
      <c r="D4" s="15" t="s">
        <v>78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4" x14ac:dyDescent="0.3">
      <c r="A5" s="7"/>
      <c r="B5" s="42"/>
      <c r="C5" s="42"/>
      <c r="D5" s="42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4" x14ac:dyDescent="0.3">
      <c r="A6" s="7"/>
      <c r="B6" s="43" t="s">
        <v>99</v>
      </c>
      <c r="C6" s="43" t="s">
        <v>100</v>
      </c>
      <c r="D6" s="43" t="s">
        <v>101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4" x14ac:dyDescent="0.3">
      <c r="A7" s="7"/>
      <c r="B7" s="43" t="s">
        <v>107</v>
      </c>
      <c r="C7" s="43" t="s">
        <v>107</v>
      </c>
      <c r="D7" s="43" t="s">
        <v>107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4" x14ac:dyDescent="0.3">
      <c r="A8" s="7"/>
      <c r="B8" s="66"/>
      <c r="C8" s="66" t="s">
        <v>125</v>
      </c>
      <c r="D8" s="66" t="s">
        <v>122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 x14ac:dyDescent="0.3">
      <c r="A9" s="7"/>
      <c r="B9" s="67"/>
      <c r="C9" s="67" t="s">
        <v>140</v>
      </c>
      <c r="D9" s="67" t="s">
        <v>136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4" x14ac:dyDescent="0.3">
      <c r="A10" s="7"/>
      <c r="B10" s="68"/>
      <c r="C10" s="68" t="s">
        <v>160</v>
      </c>
      <c r="D10" s="68" t="s">
        <v>156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4" x14ac:dyDescent="0.3">
      <c r="A11" s="7"/>
      <c r="B11" s="69"/>
      <c r="C11" s="69" t="s">
        <v>173</v>
      </c>
      <c r="D11" s="69" t="s">
        <v>169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4" x14ac:dyDescent="0.3">
      <c r="A12" s="7"/>
      <c r="B12" s="70"/>
      <c r="C12" s="70" t="s">
        <v>196</v>
      </c>
      <c r="D12" s="70" t="s">
        <v>191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4" x14ac:dyDescent="0.3">
      <c r="A13" s="19" t="s">
        <v>283</v>
      </c>
      <c r="B13" s="7"/>
      <c r="C13" s="7" t="e">
        <f>'Grille de métriques'!AG12</f>
        <v>#NUM!</v>
      </c>
      <c r="D13" s="7" t="e">
        <f>'Grille de métriques'!AH12</f>
        <v>#NUM!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4" x14ac:dyDescent="0.3">
      <c r="A14" s="19" t="s">
        <v>285</v>
      </c>
      <c r="B14" s="7"/>
      <c r="C14" s="7" t="e">
        <f>'Grille de métriques'!AG20</f>
        <v>#NUM!</v>
      </c>
      <c r="D14" s="7" t="e">
        <f>'Grille de métriques'!AH20</f>
        <v>#NUM!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4" x14ac:dyDescent="0.3">
      <c r="A15" s="19" t="s">
        <v>286</v>
      </c>
      <c r="B15" s="7"/>
      <c r="C15" s="7" t="e">
        <f>'Grille de métriques'!AG28</f>
        <v>#NUM!</v>
      </c>
      <c r="D15" s="7" t="e">
        <f>'Grille de métriques'!AH28</f>
        <v>#NUM!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4" x14ac:dyDescent="0.3">
      <c r="A16" s="19" t="s">
        <v>288</v>
      </c>
      <c r="B16" s="7"/>
      <c r="C16" s="7" t="e">
        <f>'Grille de métriques'!AG36</f>
        <v>#NUM!</v>
      </c>
      <c r="D16" s="7" t="e">
        <f>'Grille de métriques'!AH36</f>
        <v>#NUM!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4" x14ac:dyDescent="0.3">
      <c r="A17" s="19" t="s">
        <v>289</v>
      </c>
      <c r="B17" s="7"/>
      <c r="C17" s="7" t="e">
        <f>'Grille de métriques'!AG44</f>
        <v>#NUM!</v>
      </c>
      <c r="D17" s="7" t="e">
        <f>'Grille de métriques'!AH44</f>
        <v>#NUM!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4" x14ac:dyDescent="0.3">
      <c r="A18" s="19" t="s">
        <v>329</v>
      </c>
      <c r="B18" s="7"/>
      <c r="C18" s="7">
        <f>'Grille de métriques'!AG87</f>
        <v>0</v>
      </c>
      <c r="D18" s="7">
        <f>'Grille de métriques'!AH87</f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4" x14ac:dyDescent="0.3">
      <c r="A19" s="32"/>
      <c r="B19" s="48"/>
      <c r="C19" s="48"/>
      <c r="D19" s="4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4" x14ac:dyDescent="0.3">
      <c r="A20" s="21" t="s">
        <v>25</v>
      </c>
      <c r="B20" s="15" t="s">
        <v>76</v>
      </c>
      <c r="C20" s="15" t="s">
        <v>77</v>
      </c>
      <c r="D20" s="15" t="s">
        <v>78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21" t="s">
        <v>35</v>
      </c>
      <c r="B21" s="7" t="e">
        <f>'Grille de métriques'!AF47</f>
        <v>#REF!</v>
      </c>
      <c r="C21" s="7">
        <f>'Grille de métriques'!AG47</f>
        <v>0</v>
      </c>
      <c r="D21" s="7">
        <f>'Grille de métriques'!AH47</f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21" t="s">
        <v>291</v>
      </c>
      <c r="B22" s="7" t="e">
        <f>'Grille de métriques'!AF48</f>
        <v>#REF!</v>
      </c>
      <c r="C22" s="7">
        <f>'Grille de métriques'!AG48</f>
        <v>0</v>
      </c>
      <c r="D22" s="7">
        <f>'Grille de métriques'!AH48</f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21" t="s">
        <v>292</v>
      </c>
      <c r="B23" s="7" t="e">
        <f>'Grille de métriques'!AF49</f>
        <v>#REF!</v>
      </c>
      <c r="C23" s="7">
        <f>'Grille de métriques'!AG49</f>
        <v>0</v>
      </c>
      <c r="D23" s="7">
        <f>'Grille de métriques'!AH49</f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21" t="s">
        <v>293</v>
      </c>
      <c r="B24" s="7" t="e">
        <f>'Grille de métriques'!AF50</f>
        <v>#REF!</v>
      </c>
      <c r="C24" s="7">
        <f>'Grille de métriques'!AG50</f>
        <v>0</v>
      </c>
      <c r="D24" s="7">
        <f>'Grille de métriques'!AH50</f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21" t="s">
        <v>294</v>
      </c>
      <c r="B25" s="7" t="e">
        <f>'Grille de métriques'!AF51</f>
        <v>#REF!</v>
      </c>
      <c r="C25" s="7">
        <f>'Grille de métriques'!AG51</f>
        <v>0</v>
      </c>
      <c r="D25" s="7">
        <f>'Grille de métriques'!AH51</f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21" t="s">
        <v>295</v>
      </c>
      <c r="B26" s="7" t="e">
        <f>'Grille de métriques'!AF52</f>
        <v>#REF!</v>
      </c>
      <c r="C26" s="7">
        <f>'Grille de métriques'!AG52</f>
        <v>0</v>
      </c>
      <c r="D26" s="7">
        <f>'Grille de métriques'!AH52</f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21" t="s">
        <v>296</v>
      </c>
      <c r="B27" s="7" t="e">
        <f>'Grille de métriques'!AF53</f>
        <v>#REF!</v>
      </c>
      <c r="C27" s="7">
        <f>'Grille de métriques'!AG53</f>
        <v>0</v>
      </c>
      <c r="D27" s="7">
        <f>'Grille de métriques'!AH53</f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21" t="s">
        <v>297</v>
      </c>
      <c r="B28" s="7" t="e">
        <f>'Grille de métriques'!AF54</f>
        <v>#REF!</v>
      </c>
      <c r="C28" s="7">
        <f>'Grille de métriques'!AG54</f>
        <v>0</v>
      </c>
      <c r="D28" s="7">
        <f>'Grille de métriques'!AH54</f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21" t="s">
        <v>298</v>
      </c>
      <c r="B29" s="7" t="e">
        <f>'Grille de métriques'!AF55</f>
        <v>#REF!</v>
      </c>
      <c r="C29" s="7">
        <f>'Grille de métriques'!AG55</f>
        <v>0</v>
      </c>
      <c r="D29" s="7">
        <f>'Grille de métriques'!AH55</f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21" t="s">
        <v>299</v>
      </c>
      <c r="B30" s="7" t="e">
        <f>'Grille de métriques'!AF56</f>
        <v>#REF!</v>
      </c>
      <c r="C30" s="7">
        <f>'Grille de métriques'!AG56</f>
        <v>0</v>
      </c>
      <c r="D30" s="7">
        <f>'Grille de métriques'!AH56</f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21" t="s">
        <v>300</v>
      </c>
      <c r="B31" s="7" t="e">
        <f>'Grille de métriques'!AF57</f>
        <v>#REF!</v>
      </c>
      <c r="C31" s="7">
        <f>'Grille de métriques'!AG57</f>
        <v>0</v>
      </c>
      <c r="D31" s="7">
        <f>'Grille de métriques'!AH57</f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21" t="s">
        <v>301</v>
      </c>
      <c r="B32" s="7" t="e">
        <f>'Grille de métriques'!AF58</f>
        <v>#REF!</v>
      </c>
      <c r="C32" s="7">
        <f>'Grille de métriques'!AG58</f>
        <v>0</v>
      </c>
      <c r="D32" s="7">
        <f>'Grille de métriques'!AH58</f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21" t="s">
        <v>302</v>
      </c>
      <c r="B33" s="7" t="e">
        <f>'Grille de métriques'!AF59</f>
        <v>#REF!</v>
      </c>
      <c r="C33" s="7">
        <f>'Grille de métriques'!AG59</f>
        <v>0</v>
      </c>
      <c r="D33" s="7">
        <f>'Grille de métriques'!AH59</f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21" t="s">
        <v>303</v>
      </c>
      <c r="B34" s="7" t="e">
        <f>'Grille de métriques'!AF60</f>
        <v>#REF!</v>
      </c>
      <c r="C34" s="7">
        <f>'Grille de métriques'!AG60</f>
        <v>0</v>
      </c>
      <c r="D34" s="7">
        <f>'Grille de métriques'!AH60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21" t="s">
        <v>304</v>
      </c>
      <c r="B35" s="7" t="e">
        <f>'Grille de métriques'!AF61</f>
        <v>#REF!</v>
      </c>
      <c r="C35" s="7">
        <f>'Grille de métriques'!AG61</f>
        <v>0</v>
      </c>
      <c r="D35" s="7">
        <f>'Grille de métriques'!AH61</f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21" t="s">
        <v>305</v>
      </c>
      <c r="B36" s="7" t="e">
        <f>'Grille de métriques'!AF62</f>
        <v>#REF!</v>
      </c>
      <c r="C36" s="7">
        <f>'Grille de métriques'!AG62</f>
        <v>0</v>
      </c>
      <c r="D36" s="7">
        <f>'Grille de métriques'!AH62</f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21" t="s">
        <v>306</v>
      </c>
      <c r="B37" s="7" t="e">
        <f>'Grille de métriques'!AF63</f>
        <v>#REF!</v>
      </c>
      <c r="C37" s="7">
        <f>'Grille de métriques'!AG63</f>
        <v>0</v>
      </c>
      <c r="D37" s="7">
        <f>'Grille de métriques'!AH63</f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21" t="s">
        <v>307</v>
      </c>
      <c r="B38" s="7" t="e">
        <f>'Grille de métriques'!AF64</f>
        <v>#REF!</v>
      </c>
      <c r="C38" s="7">
        <f>'Grille de métriques'!AG64</f>
        <v>0</v>
      </c>
      <c r="D38" s="7">
        <f>'Grille de métriques'!AH64</f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21" t="s">
        <v>308</v>
      </c>
      <c r="B39" s="7" t="e">
        <f>'Grille de métriques'!AF65</f>
        <v>#REF!</v>
      </c>
      <c r="C39" s="7">
        <f>'Grille de métriques'!AG65</f>
        <v>0</v>
      </c>
      <c r="D39" s="7">
        <f>'Grille de métriques'!AH65</f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21" t="s">
        <v>309</v>
      </c>
      <c r="B40" s="7" t="e">
        <f>'Grille de métriques'!AF66</f>
        <v>#REF!</v>
      </c>
      <c r="C40" s="7">
        <f>'Grille de métriques'!AG66</f>
        <v>0</v>
      </c>
      <c r="D40" s="7">
        <f>'Grille de métriques'!AH66</f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21" t="s">
        <v>310</v>
      </c>
      <c r="B41" s="7" t="e">
        <f>'Grille de métriques'!AF67</f>
        <v>#REF!</v>
      </c>
      <c r="C41" s="7">
        <f>'Grille de métriques'!AG67</f>
        <v>0</v>
      </c>
      <c r="D41" s="7">
        <f>'Grille de métriques'!AH67</f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21" t="s">
        <v>311</v>
      </c>
      <c r="B42" s="7" t="e">
        <f>'Grille de métriques'!AF68</f>
        <v>#REF!</v>
      </c>
      <c r="C42" s="7">
        <f>'Grille de métriques'!AG68</f>
        <v>0</v>
      </c>
      <c r="D42" s="7">
        <f>'Grille de métriques'!AH68</f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21" t="s">
        <v>312</v>
      </c>
      <c r="B43" s="7" t="e">
        <f>'Grille de métriques'!AF69</f>
        <v>#REF!</v>
      </c>
      <c r="C43" s="7">
        <f>'Grille de métriques'!AG69</f>
        <v>0</v>
      </c>
      <c r="D43" s="7">
        <f>'Grille de métriques'!AH69</f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21" t="s">
        <v>313</v>
      </c>
      <c r="B44" s="7" t="e">
        <f>'Grille de métriques'!AF70</f>
        <v>#REF!</v>
      </c>
      <c r="C44" s="7">
        <f>'Grille de métriques'!AG70</f>
        <v>0</v>
      </c>
      <c r="D44" s="7">
        <f>'Grille de métriques'!AH70</f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21" t="s">
        <v>314</v>
      </c>
      <c r="B45" s="7" t="e">
        <f>'Grille de métriques'!AF71</f>
        <v>#REF!</v>
      </c>
      <c r="C45" s="7">
        <f>'Grille de métriques'!AG71</f>
        <v>0</v>
      </c>
      <c r="D45" s="7">
        <f>'Grille de métriques'!AH71</f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21" t="s">
        <v>315</v>
      </c>
      <c r="B46" s="7" t="e">
        <f>'Grille de métriques'!AF72</f>
        <v>#REF!</v>
      </c>
      <c r="C46" s="7">
        <f>'Grille de métriques'!AG72</f>
        <v>0</v>
      </c>
      <c r="D46" s="7">
        <f>'Grille de métriques'!AH72</f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21" t="s">
        <v>316</v>
      </c>
      <c r="B47" s="7" t="e">
        <f>'Grille de métriques'!AF73</f>
        <v>#REF!</v>
      </c>
      <c r="C47" s="7">
        <f>'Grille de métriques'!AG73</f>
        <v>0</v>
      </c>
      <c r="D47" s="7">
        <f>'Grille de métriques'!AH73</f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21" t="s">
        <v>317</v>
      </c>
      <c r="B48" s="7" t="e">
        <f>'Grille de métriques'!AF74</f>
        <v>#REF!</v>
      </c>
      <c r="C48" s="7">
        <f>'Grille de métriques'!AG74</f>
        <v>0</v>
      </c>
      <c r="D48" s="7">
        <f>'Grille de métriques'!AH74</f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21" t="s">
        <v>318</v>
      </c>
      <c r="B49" s="7" t="e">
        <f>'Grille de métriques'!AF75</f>
        <v>#REF!</v>
      </c>
      <c r="C49" s="7">
        <f>'Grille de métriques'!AG75</f>
        <v>0</v>
      </c>
      <c r="D49" s="7">
        <f>'Grille de métriques'!AH75</f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21" t="s">
        <v>319</v>
      </c>
      <c r="B50" s="7" t="e">
        <f>'Grille de métriques'!AF76</f>
        <v>#REF!</v>
      </c>
      <c r="C50" s="7">
        <f>'Grille de métriques'!AG76</f>
        <v>0</v>
      </c>
      <c r="D50" s="7">
        <f>'Grille de métriques'!AH76</f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21" t="s">
        <v>320</v>
      </c>
      <c r="B51" s="7" t="e">
        <f>'Grille de métriques'!AF77</f>
        <v>#REF!</v>
      </c>
      <c r="C51" s="7">
        <f>'Grille de métriques'!AG77</f>
        <v>0</v>
      </c>
      <c r="D51" s="7">
        <f>'Grille de métriques'!AH77</f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21" t="s">
        <v>321</v>
      </c>
      <c r="B52" s="7" t="e">
        <f>'Grille de métriques'!AF78</f>
        <v>#REF!</v>
      </c>
      <c r="C52" s="7">
        <f>'Grille de métriques'!AG78</f>
        <v>0</v>
      </c>
      <c r="D52" s="7">
        <f>'Grille de métriques'!AH78</f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21" t="s">
        <v>322</v>
      </c>
      <c r="B53" s="7" t="e">
        <f>'Grille de métriques'!AF79</f>
        <v>#REF!</v>
      </c>
      <c r="C53" s="7">
        <f>'Grille de métriques'!AG79</f>
        <v>0</v>
      </c>
      <c r="D53" s="7">
        <f>'Grille de métriques'!AH79</f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21" t="s">
        <v>323</v>
      </c>
      <c r="B54" s="7" t="e">
        <f>'Grille de métriques'!AF80</f>
        <v>#REF!</v>
      </c>
      <c r="C54" s="7">
        <f>'Grille de métriques'!AG80</f>
        <v>0</v>
      </c>
      <c r="D54" s="7">
        <f>'Grille de métriques'!AH80</f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21" t="s">
        <v>324</v>
      </c>
      <c r="B55" s="7" t="e">
        <f>'Grille de métriques'!AF81</f>
        <v>#REF!</v>
      </c>
      <c r="C55" s="7">
        <f>'Grille de métriques'!AG81</f>
        <v>0</v>
      </c>
      <c r="D55" s="7">
        <f>'Grille de métriques'!AH81</f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21" t="s">
        <v>325</v>
      </c>
      <c r="B56" s="7" t="e">
        <f>'Grille de métriques'!AF82</f>
        <v>#REF!</v>
      </c>
      <c r="C56" s="7">
        <f>'Grille de métriques'!AG82</f>
        <v>0</v>
      </c>
      <c r="D56" s="7">
        <f>'Grille de métriques'!AH82</f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21" t="s">
        <v>326</v>
      </c>
      <c r="B57" s="7" t="e">
        <f>'Grille de métriques'!AF83</f>
        <v>#REF!</v>
      </c>
      <c r="C57" s="7">
        <f>'Grille de métriques'!AG83</f>
        <v>0</v>
      </c>
      <c r="D57" s="7">
        <f>'Grille de métriques'!AH83</f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21" t="s">
        <v>327</v>
      </c>
      <c r="B58" s="7" t="e">
        <f>'Grille de métriques'!AF84</f>
        <v>#REF!</v>
      </c>
      <c r="C58" s="7">
        <f>'Grille de métriques'!AG84</f>
        <v>0</v>
      </c>
      <c r="D58" s="7">
        <f>'Grille de métriques'!AH84</f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21" t="s">
        <v>328</v>
      </c>
      <c r="B59" s="7" t="e">
        <f>'Grille de métriques'!AF85</f>
        <v>#REF!</v>
      </c>
      <c r="C59" s="7">
        <f>'Grille de métriques'!AG85</f>
        <v>0</v>
      </c>
      <c r="D59" s="7">
        <f>'Grille de métriques'!AH85</f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32"/>
      <c r="B60" s="48" t="s">
        <v>73</v>
      </c>
      <c r="C60" s="48" t="s">
        <v>74</v>
      </c>
      <c r="D60" s="48" t="s">
        <v>75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19" t="s">
        <v>334</v>
      </c>
      <c r="B61" s="7">
        <f>COUNTIF(B21:B59,1)</f>
        <v>0</v>
      </c>
      <c r="C61" s="7">
        <f t="shared" ref="C61:D61" si="0">COUNTIF(C21:C59,1)</f>
        <v>0</v>
      </c>
      <c r="D61" s="7">
        <f t="shared" si="0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19" t="s">
        <v>335</v>
      </c>
      <c r="B62" s="7">
        <f>COUNTIF(B21:B59,2)</f>
        <v>0</v>
      </c>
      <c r="C62" s="7">
        <f t="shared" ref="C62:D62" si="1">COUNTIF(C21:C59,2)</f>
        <v>0</v>
      </c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19" t="s">
        <v>336</v>
      </c>
      <c r="B63" s="7">
        <f>COUNTIF(B21:B59,3)</f>
        <v>0</v>
      </c>
      <c r="C63" s="7">
        <f t="shared" ref="C63:D63" si="2">COUNTIF(C21:C59,3)</f>
        <v>0</v>
      </c>
      <c r="D63" s="7">
        <f t="shared" si="2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19" t="s">
        <v>337</v>
      </c>
      <c r="B64" s="7">
        <f>COUNTIF(B21:B59,4)</f>
        <v>0</v>
      </c>
      <c r="C64" s="7">
        <f t="shared" ref="C64:D64" si="3">COUNTIF(C21:C59,4)</f>
        <v>0</v>
      </c>
      <c r="D64" s="7">
        <f t="shared" si="3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19" t="s">
        <v>338</v>
      </c>
      <c r="B65" s="7">
        <f>COUNTIF(B21:B59,5)</f>
        <v>0</v>
      </c>
      <c r="C65" s="7">
        <f t="shared" ref="C65:D65" si="4">COUNTIF(C21:C59,5)</f>
        <v>0</v>
      </c>
      <c r="D65" s="7">
        <f t="shared" si="4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B2:D2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000"/>
  <sheetViews>
    <sheetView workbookViewId="0">
      <selection activeCell="B3" sqref="B3"/>
    </sheetView>
  </sheetViews>
  <sheetFormatPr baseColWidth="10" defaultColWidth="12.59765625" defaultRowHeight="15" customHeight="1" x14ac:dyDescent="0.25"/>
  <cols>
    <col min="1" max="33" width="9.3984375" customWidth="1"/>
  </cols>
  <sheetData>
    <row r="1" spans="1:33" ht="14.4" x14ac:dyDescent="0.3">
      <c r="A1" s="19" t="s">
        <v>357</v>
      </c>
      <c r="B1" s="19" t="s">
        <v>358</v>
      </c>
      <c r="C1" s="19" t="s">
        <v>359</v>
      </c>
      <c r="D1" s="19" t="s">
        <v>360</v>
      </c>
      <c r="E1" s="19" t="s">
        <v>361</v>
      </c>
      <c r="F1" s="19" t="s">
        <v>362</v>
      </c>
      <c r="G1" s="19" t="s">
        <v>363</v>
      </c>
      <c r="H1" s="19" t="s">
        <v>364</v>
      </c>
      <c r="I1" s="19" t="s">
        <v>365</v>
      </c>
      <c r="J1" s="19" t="s">
        <v>366</v>
      </c>
      <c r="K1" s="19" t="s">
        <v>367</v>
      </c>
      <c r="L1" s="19" t="s">
        <v>368</v>
      </c>
      <c r="M1" s="19" t="s">
        <v>369</v>
      </c>
      <c r="N1" s="19" t="s">
        <v>370</v>
      </c>
      <c r="O1" s="19" t="s">
        <v>371</v>
      </c>
      <c r="P1" s="19" t="s">
        <v>372</v>
      </c>
      <c r="Q1" s="19" t="s">
        <v>373</v>
      </c>
      <c r="R1" s="19" t="s">
        <v>374</v>
      </c>
      <c r="S1" s="19" t="s">
        <v>375</v>
      </c>
      <c r="T1" s="19" t="s">
        <v>376</v>
      </c>
      <c r="U1" s="19" t="s">
        <v>377</v>
      </c>
      <c r="V1" s="19" t="s">
        <v>378</v>
      </c>
      <c r="W1" s="19" t="s">
        <v>379</v>
      </c>
      <c r="X1" s="19" t="s">
        <v>380</v>
      </c>
      <c r="Y1" s="19" t="s">
        <v>381</v>
      </c>
      <c r="Z1" s="19" t="s">
        <v>382</v>
      </c>
      <c r="AA1" s="19" t="s">
        <v>383</v>
      </c>
      <c r="AB1" s="19" t="s">
        <v>384</v>
      </c>
      <c r="AC1" s="19" t="s">
        <v>385</v>
      </c>
      <c r="AD1" s="19" t="s">
        <v>386</v>
      </c>
      <c r="AE1" s="19" t="s">
        <v>387</v>
      </c>
      <c r="AF1" s="19" t="s">
        <v>388</v>
      </c>
      <c r="AG1" s="19" t="s">
        <v>389</v>
      </c>
    </row>
    <row r="2" spans="1:33" ht="14.4" x14ac:dyDescent="0.3">
      <c r="A2" s="7" t="s">
        <v>390</v>
      </c>
      <c r="B2" s="7">
        <f>COUNTIF(Acteurs!B2,1)</f>
        <v>1</v>
      </c>
      <c r="C2" s="7">
        <f>COUNTIF(Acteurs!C2,1)</f>
        <v>0</v>
      </c>
      <c r="D2" s="7">
        <f>COUNTIF(Acteurs!D2,1)</f>
        <v>0</v>
      </c>
      <c r="E2" s="7">
        <f>COUNTIF(Acteurs!E2,1)</f>
        <v>1</v>
      </c>
      <c r="F2" s="7">
        <f>COUNTIF(Acteurs!F2,1)</f>
        <v>0</v>
      </c>
      <c r="G2" s="7">
        <f>'Grille de métriques'!C47</f>
        <v>4</v>
      </c>
      <c r="H2" s="7">
        <f>'Grille de métriques'!D47</f>
        <v>0</v>
      </c>
      <c r="I2" s="7">
        <f>'Grille de métriques'!E47</f>
        <v>0</v>
      </c>
      <c r="J2" s="7">
        <f>'Grille de métriques'!F47</f>
        <v>0</v>
      </c>
      <c r="K2" s="7">
        <f>'Grille de métriques'!G47</f>
        <v>0</v>
      </c>
      <c r="L2" s="7">
        <f>'Grille de métriques'!H47</f>
        <v>0</v>
      </c>
      <c r="M2" s="7">
        <f>'Grille de métriques'!I47</f>
        <v>0</v>
      </c>
      <c r="N2" s="7">
        <f>'Grille de métriques'!J47</f>
        <v>0</v>
      </c>
      <c r="O2" s="7">
        <f>'Grille de métriques'!K47</f>
        <v>0</v>
      </c>
      <c r="P2" s="7">
        <f>'Grille de métriques'!L47</f>
        <v>0</v>
      </c>
      <c r="Q2" s="7">
        <f>'Grille de métriques'!M47</f>
        <v>0</v>
      </c>
      <c r="R2" s="7">
        <f>'Grille de métriques'!N47</f>
        <v>0</v>
      </c>
      <c r="S2" s="7">
        <f>'Grille de métriques'!O47</f>
        <v>0</v>
      </c>
      <c r="T2" s="7">
        <f>'Grille de métriques'!P47</f>
        <v>0</v>
      </c>
      <c r="U2" s="7">
        <f>'Grille de métriques'!Q47</f>
        <v>0</v>
      </c>
      <c r="V2" s="7">
        <f>'Grille de métriques'!R47</f>
        <v>0</v>
      </c>
      <c r="W2" s="7">
        <f>'Grille de métriques'!S47</f>
        <v>0</v>
      </c>
      <c r="X2" s="7">
        <f>'Grille de métriques'!T47</f>
        <v>0</v>
      </c>
      <c r="Y2" s="7">
        <f>'Grille de métriques'!U47</f>
        <v>0</v>
      </c>
      <c r="Z2" s="7">
        <f>'Grille de métriques'!V47</f>
        <v>0</v>
      </c>
      <c r="AA2" s="7">
        <f>'Grille de métriques'!W47</f>
        <v>0</v>
      </c>
      <c r="AB2" s="7">
        <f>'Grille de métriques'!X47</f>
        <v>0</v>
      </c>
      <c r="AC2" s="7">
        <f>'Grille de métriques'!Y47</f>
        <v>0</v>
      </c>
      <c r="AD2" s="7">
        <f>'Grille de métriques'!Z47</f>
        <v>0</v>
      </c>
      <c r="AE2" s="7">
        <f>'Grille de métriques'!AA47</f>
        <v>0</v>
      </c>
      <c r="AF2" s="7">
        <f>'Grille de métriques'!AB47</f>
        <v>0</v>
      </c>
      <c r="AG2" s="7">
        <f>'Grille de métriques'!AC47</f>
        <v>0</v>
      </c>
    </row>
    <row r="3" spans="1:33" ht="14.4" x14ac:dyDescent="0.3">
      <c r="A3" s="7" t="s">
        <v>391</v>
      </c>
      <c r="B3" s="7">
        <f>COUNTIF(Acteurs!B3,1)</f>
        <v>0</v>
      </c>
      <c r="C3" s="7">
        <f>COUNTIF(Acteurs!C3,1)</f>
        <v>1</v>
      </c>
      <c r="D3" s="7">
        <f>COUNTIF(Acteurs!D3,1)</f>
        <v>0</v>
      </c>
      <c r="E3" s="7">
        <f>COUNTIF(Acteurs!E3,1)</f>
        <v>0</v>
      </c>
      <c r="F3" s="7">
        <f>COUNTIF(Acteurs!F3,1)</f>
        <v>0</v>
      </c>
      <c r="G3" s="7">
        <f>'Grille de métriques'!C48</f>
        <v>2</v>
      </c>
      <c r="H3" s="7">
        <f>'Grille de métriques'!D48</f>
        <v>0</v>
      </c>
      <c r="I3" s="7">
        <f>'Grille de métriques'!E48</f>
        <v>0</v>
      </c>
      <c r="J3" s="7">
        <f>'Grille de métriques'!F48</f>
        <v>0</v>
      </c>
      <c r="K3" s="7">
        <f>'Grille de métriques'!G48</f>
        <v>0</v>
      </c>
      <c r="L3" s="7">
        <f>'Grille de métriques'!H48</f>
        <v>0</v>
      </c>
      <c r="M3" s="7">
        <f>'Grille de métriques'!I48</f>
        <v>0</v>
      </c>
      <c r="N3" s="7">
        <f>'Grille de métriques'!J48</f>
        <v>0</v>
      </c>
      <c r="O3" s="7">
        <f>'Grille de métriques'!K48</f>
        <v>0</v>
      </c>
      <c r="P3" s="7">
        <f>'Grille de métriques'!L48</f>
        <v>0</v>
      </c>
      <c r="Q3" s="7">
        <f>'Grille de métriques'!M48</f>
        <v>0</v>
      </c>
      <c r="R3" s="7">
        <f>'Grille de métriques'!N48</f>
        <v>0</v>
      </c>
      <c r="S3" s="7">
        <f>'Grille de métriques'!O48</f>
        <v>0</v>
      </c>
      <c r="T3" s="7">
        <f>'Grille de métriques'!P48</f>
        <v>0</v>
      </c>
      <c r="U3" s="7">
        <f>'Grille de métriques'!Q48</f>
        <v>0</v>
      </c>
      <c r="V3" s="7">
        <f>'Grille de métriques'!R48</f>
        <v>0</v>
      </c>
      <c r="W3" s="7">
        <f>'Grille de métriques'!S48</f>
        <v>0</v>
      </c>
      <c r="X3" s="7">
        <f>'Grille de métriques'!T48</f>
        <v>0</v>
      </c>
      <c r="Y3" s="7">
        <f>'Grille de métriques'!U48</f>
        <v>0</v>
      </c>
      <c r="Z3" s="7">
        <f>'Grille de métriques'!V48</f>
        <v>0</v>
      </c>
      <c r="AA3" s="7">
        <f>'Grille de métriques'!W48</f>
        <v>0</v>
      </c>
      <c r="AB3" s="7">
        <f>'Grille de métriques'!X48</f>
        <v>0</v>
      </c>
      <c r="AC3" s="7">
        <f>'Grille de métriques'!Y48</f>
        <v>0</v>
      </c>
      <c r="AD3" s="7">
        <f>'Grille de métriques'!Z48</f>
        <v>0</v>
      </c>
      <c r="AE3" s="7">
        <f>'Grille de métriques'!AA48</f>
        <v>0</v>
      </c>
      <c r="AF3" s="7">
        <f>'Grille de métriques'!AB48</f>
        <v>0</v>
      </c>
      <c r="AG3" s="7">
        <f>'Grille de métriques'!AC48</f>
        <v>0</v>
      </c>
    </row>
    <row r="4" spans="1:33" ht="14.4" x14ac:dyDescent="0.3">
      <c r="A4" s="7" t="s">
        <v>392</v>
      </c>
      <c r="B4" s="7">
        <f>COUNTIF(Acteurs!B4,1)</f>
        <v>0</v>
      </c>
      <c r="C4" s="7">
        <f>COUNTIF(Acteurs!C4,1)</f>
        <v>0</v>
      </c>
      <c r="D4" s="7">
        <f>COUNTIF(Acteurs!D4,1)</f>
        <v>0</v>
      </c>
      <c r="E4" s="7">
        <f>COUNTIF(Acteurs!E4,1)</f>
        <v>0</v>
      </c>
      <c r="F4" s="7">
        <f>COUNTIF(Acteurs!F4,1)</f>
        <v>0</v>
      </c>
      <c r="G4" s="7">
        <f>'Grille de métriques'!C49</f>
        <v>0</v>
      </c>
      <c r="H4" s="7">
        <f>'Grille de métriques'!D49</f>
        <v>0</v>
      </c>
      <c r="I4" s="7">
        <f>'Grille de métriques'!E49</f>
        <v>0</v>
      </c>
      <c r="J4" s="7">
        <f>'Grille de métriques'!F49</f>
        <v>0</v>
      </c>
      <c r="K4" s="7">
        <f>'Grille de métriques'!G49</f>
        <v>0</v>
      </c>
      <c r="L4" s="7">
        <f>'Grille de métriques'!H49</f>
        <v>0</v>
      </c>
      <c r="M4" s="7">
        <f>'Grille de métriques'!I49</f>
        <v>0</v>
      </c>
      <c r="N4" s="7">
        <f>'Grille de métriques'!J49</f>
        <v>0</v>
      </c>
      <c r="O4" s="7">
        <f>'Grille de métriques'!K49</f>
        <v>0</v>
      </c>
      <c r="P4" s="7">
        <f>'Grille de métriques'!L49</f>
        <v>0</v>
      </c>
      <c r="Q4" s="7">
        <f>'Grille de métriques'!M49</f>
        <v>0</v>
      </c>
      <c r="R4" s="7">
        <f>'Grille de métriques'!N49</f>
        <v>0</v>
      </c>
      <c r="S4" s="7">
        <f>'Grille de métriques'!O49</f>
        <v>0</v>
      </c>
      <c r="T4" s="7">
        <f>'Grille de métriques'!P49</f>
        <v>0</v>
      </c>
      <c r="U4" s="7">
        <f>'Grille de métriques'!Q49</f>
        <v>0</v>
      </c>
      <c r="V4" s="7">
        <f>'Grille de métriques'!R49</f>
        <v>0</v>
      </c>
      <c r="W4" s="7">
        <f>'Grille de métriques'!S49</f>
        <v>0</v>
      </c>
      <c r="X4" s="7">
        <f>'Grille de métriques'!T49</f>
        <v>0</v>
      </c>
      <c r="Y4" s="7">
        <f>'Grille de métriques'!U49</f>
        <v>0</v>
      </c>
      <c r="Z4" s="7">
        <f>'Grille de métriques'!V49</f>
        <v>0</v>
      </c>
      <c r="AA4" s="7">
        <f>'Grille de métriques'!W49</f>
        <v>0</v>
      </c>
      <c r="AB4" s="7">
        <f>'Grille de métriques'!X49</f>
        <v>0</v>
      </c>
      <c r="AC4" s="7">
        <f>'Grille de métriques'!Y49</f>
        <v>0</v>
      </c>
      <c r="AD4" s="7">
        <f>'Grille de métriques'!Z49</f>
        <v>0</v>
      </c>
      <c r="AE4" s="7">
        <f>'Grille de métriques'!AA49</f>
        <v>0</v>
      </c>
      <c r="AF4" s="7">
        <f>'Grille de métriques'!AB49</f>
        <v>0</v>
      </c>
      <c r="AG4" s="7">
        <f>'Grille de métriques'!AC49</f>
        <v>0</v>
      </c>
    </row>
    <row r="5" spans="1:33" ht="14.4" x14ac:dyDescent="0.3">
      <c r="A5" s="7" t="s">
        <v>393</v>
      </c>
      <c r="B5" s="7">
        <f>COUNTIF(Acteurs!B5,1)</f>
        <v>0</v>
      </c>
      <c r="C5" s="7">
        <f>COUNTIF(Acteurs!C5,1)</f>
        <v>0</v>
      </c>
      <c r="D5" s="7">
        <f>COUNTIF(Acteurs!D5,1)</f>
        <v>0</v>
      </c>
      <c r="E5" s="7">
        <f>COUNTIF(Acteurs!E5,1)</f>
        <v>0</v>
      </c>
      <c r="F5" s="7">
        <f>COUNTIF(Acteurs!F5,1)</f>
        <v>0</v>
      </c>
      <c r="G5" s="7">
        <f>'Grille de métriques'!C50</f>
        <v>0</v>
      </c>
      <c r="H5" s="7">
        <f>'Grille de métriques'!D50</f>
        <v>0</v>
      </c>
      <c r="I5" s="7">
        <f>'Grille de métriques'!E50</f>
        <v>0</v>
      </c>
      <c r="J5" s="7">
        <f>'Grille de métriques'!F50</f>
        <v>0</v>
      </c>
      <c r="K5" s="7">
        <f>'Grille de métriques'!G50</f>
        <v>0</v>
      </c>
      <c r="L5" s="7">
        <f>'Grille de métriques'!H50</f>
        <v>0</v>
      </c>
      <c r="M5" s="7">
        <f>'Grille de métriques'!I50</f>
        <v>0</v>
      </c>
      <c r="N5" s="7">
        <f>'Grille de métriques'!J50</f>
        <v>0</v>
      </c>
      <c r="O5" s="7">
        <f>'Grille de métriques'!K50</f>
        <v>0</v>
      </c>
      <c r="P5" s="7">
        <f>'Grille de métriques'!L50</f>
        <v>0</v>
      </c>
      <c r="Q5" s="7">
        <f>'Grille de métriques'!M50</f>
        <v>0</v>
      </c>
      <c r="R5" s="7">
        <f>'Grille de métriques'!N50</f>
        <v>0</v>
      </c>
      <c r="S5" s="7">
        <f>'Grille de métriques'!O50</f>
        <v>0</v>
      </c>
      <c r="T5" s="7">
        <f>'Grille de métriques'!P50</f>
        <v>0</v>
      </c>
      <c r="U5" s="7">
        <f>'Grille de métriques'!Q50</f>
        <v>0</v>
      </c>
      <c r="V5" s="7">
        <f>'Grille de métriques'!R50</f>
        <v>0</v>
      </c>
      <c r="W5" s="7">
        <f>'Grille de métriques'!S50</f>
        <v>0</v>
      </c>
      <c r="X5" s="7">
        <f>'Grille de métriques'!T50</f>
        <v>0</v>
      </c>
      <c r="Y5" s="7">
        <f>'Grille de métriques'!U50</f>
        <v>0</v>
      </c>
      <c r="Z5" s="7">
        <f>'Grille de métriques'!V50</f>
        <v>0</v>
      </c>
      <c r="AA5" s="7">
        <f>'Grille de métriques'!W50</f>
        <v>0</v>
      </c>
      <c r="AB5" s="7">
        <f>'Grille de métriques'!X50</f>
        <v>0</v>
      </c>
      <c r="AC5" s="7">
        <f>'Grille de métriques'!Y50</f>
        <v>0</v>
      </c>
      <c r="AD5" s="7">
        <f>'Grille de métriques'!Z50</f>
        <v>0</v>
      </c>
      <c r="AE5" s="7">
        <f>'Grille de métriques'!AA50</f>
        <v>0</v>
      </c>
      <c r="AF5" s="7">
        <f>'Grille de métriques'!AB50</f>
        <v>0</v>
      </c>
      <c r="AG5" s="7">
        <f>'Grille de métriques'!AC50</f>
        <v>0</v>
      </c>
    </row>
    <row r="6" spans="1:33" ht="14.4" x14ac:dyDescent="0.3">
      <c r="A6" s="7" t="s">
        <v>394</v>
      </c>
      <c r="B6" s="7">
        <f>COUNTIF(Acteurs!B6,1)</f>
        <v>0</v>
      </c>
      <c r="C6" s="7">
        <f>COUNTIF(Acteurs!C6,1)</f>
        <v>0</v>
      </c>
      <c r="D6" s="7">
        <f>COUNTIF(Acteurs!D6,1)</f>
        <v>0</v>
      </c>
      <c r="E6" s="7">
        <f>COUNTIF(Acteurs!E6,1)</f>
        <v>0</v>
      </c>
      <c r="F6" s="7">
        <f>COUNTIF(Acteurs!F6,1)</f>
        <v>0</v>
      </c>
      <c r="G6" s="7">
        <f>'Grille de métriques'!C51</f>
        <v>0</v>
      </c>
      <c r="H6" s="7">
        <f>'Grille de métriques'!D51</f>
        <v>0</v>
      </c>
      <c r="I6" s="7">
        <f>'Grille de métriques'!E51</f>
        <v>0</v>
      </c>
      <c r="J6" s="7">
        <f>'Grille de métriques'!F51</f>
        <v>0</v>
      </c>
      <c r="K6" s="7">
        <f>'Grille de métriques'!G51</f>
        <v>0</v>
      </c>
      <c r="L6" s="7">
        <f>'Grille de métriques'!H51</f>
        <v>0</v>
      </c>
      <c r="M6" s="7">
        <f>'Grille de métriques'!I51</f>
        <v>0</v>
      </c>
      <c r="N6" s="7">
        <f>'Grille de métriques'!J51</f>
        <v>0</v>
      </c>
      <c r="O6" s="7">
        <f>'Grille de métriques'!K51</f>
        <v>0</v>
      </c>
      <c r="P6" s="7">
        <f>'Grille de métriques'!L51</f>
        <v>0</v>
      </c>
      <c r="Q6" s="7">
        <f>'Grille de métriques'!M51</f>
        <v>0</v>
      </c>
      <c r="R6" s="7">
        <f>'Grille de métriques'!N51</f>
        <v>0</v>
      </c>
      <c r="S6" s="7">
        <f>'Grille de métriques'!O51</f>
        <v>0</v>
      </c>
      <c r="T6" s="7">
        <f>'Grille de métriques'!P51</f>
        <v>0</v>
      </c>
      <c r="U6" s="7">
        <f>'Grille de métriques'!Q51</f>
        <v>0</v>
      </c>
      <c r="V6" s="7">
        <f>'Grille de métriques'!R51</f>
        <v>0</v>
      </c>
      <c r="W6" s="7">
        <f>'Grille de métriques'!S51</f>
        <v>0</v>
      </c>
      <c r="X6" s="7">
        <f>'Grille de métriques'!T51</f>
        <v>0</v>
      </c>
      <c r="Y6" s="7">
        <f>'Grille de métriques'!U51</f>
        <v>0</v>
      </c>
      <c r="Z6" s="7">
        <f>'Grille de métriques'!V51</f>
        <v>0</v>
      </c>
      <c r="AA6" s="7">
        <f>'Grille de métriques'!W51</f>
        <v>0</v>
      </c>
      <c r="AB6" s="7">
        <f>'Grille de métriques'!X51</f>
        <v>0</v>
      </c>
      <c r="AC6" s="7">
        <f>'Grille de métriques'!Y51</f>
        <v>0</v>
      </c>
      <c r="AD6" s="7">
        <f>'Grille de métriques'!Z51</f>
        <v>0</v>
      </c>
      <c r="AE6" s="7">
        <f>'Grille de métriques'!AA51</f>
        <v>0</v>
      </c>
      <c r="AF6" s="7">
        <f>'Grille de métriques'!AB51</f>
        <v>0</v>
      </c>
      <c r="AG6" s="7">
        <f>'Grille de métriques'!AC51</f>
        <v>0</v>
      </c>
    </row>
    <row r="7" spans="1:33" ht="14.4" x14ac:dyDescent="0.3">
      <c r="A7" s="7" t="s">
        <v>395</v>
      </c>
      <c r="B7" s="7">
        <f>COUNTIF(Acteurs!B7,1)</f>
        <v>0</v>
      </c>
      <c r="C7" s="7">
        <f>COUNTIF(Acteurs!C7,1)</f>
        <v>0</v>
      </c>
      <c r="D7" s="7">
        <f>COUNTIF(Acteurs!D7,1)</f>
        <v>0</v>
      </c>
      <c r="E7" s="7">
        <f>COUNTIF(Acteurs!E7,1)</f>
        <v>0</v>
      </c>
      <c r="F7" s="7">
        <f>COUNTIF(Acteurs!F7,1)</f>
        <v>0</v>
      </c>
      <c r="G7" s="7">
        <f>'Grille de métriques'!C52</f>
        <v>0</v>
      </c>
      <c r="H7" s="7">
        <f>'Grille de métriques'!D52</f>
        <v>0</v>
      </c>
      <c r="I7" s="7">
        <f>'Grille de métriques'!E52</f>
        <v>0</v>
      </c>
      <c r="J7" s="7">
        <f>'Grille de métriques'!F52</f>
        <v>0</v>
      </c>
      <c r="K7" s="7">
        <f>'Grille de métriques'!G52</f>
        <v>0</v>
      </c>
      <c r="L7" s="7">
        <f>'Grille de métriques'!H52</f>
        <v>0</v>
      </c>
      <c r="M7" s="7">
        <f>'Grille de métriques'!I52</f>
        <v>0</v>
      </c>
      <c r="N7" s="7">
        <f>'Grille de métriques'!J52</f>
        <v>0</v>
      </c>
      <c r="O7" s="7">
        <f>'Grille de métriques'!K52</f>
        <v>0</v>
      </c>
      <c r="P7" s="7">
        <f>'Grille de métriques'!L52</f>
        <v>0</v>
      </c>
      <c r="Q7" s="7">
        <f>'Grille de métriques'!M52</f>
        <v>0</v>
      </c>
      <c r="R7" s="7">
        <f>'Grille de métriques'!N52</f>
        <v>0</v>
      </c>
      <c r="S7" s="7">
        <f>'Grille de métriques'!O52</f>
        <v>0</v>
      </c>
      <c r="T7" s="7">
        <f>'Grille de métriques'!P52</f>
        <v>0</v>
      </c>
      <c r="U7" s="7">
        <f>'Grille de métriques'!Q52</f>
        <v>0</v>
      </c>
      <c r="V7" s="7">
        <f>'Grille de métriques'!R52</f>
        <v>0</v>
      </c>
      <c r="W7" s="7">
        <f>'Grille de métriques'!S52</f>
        <v>0</v>
      </c>
      <c r="X7" s="7">
        <f>'Grille de métriques'!T52</f>
        <v>0</v>
      </c>
      <c r="Y7" s="7">
        <f>'Grille de métriques'!U52</f>
        <v>0</v>
      </c>
      <c r="Z7" s="7">
        <f>'Grille de métriques'!V52</f>
        <v>0</v>
      </c>
      <c r="AA7" s="7">
        <f>'Grille de métriques'!W52</f>
        <v>0</v>
      </c>
      <c r="AB7" s="7">
        <f>'Grille de métriques'!X52</f>
        <v>0</v>
      </c>
      <c r="AC7" s="7">
        <f>'Grille de métriques'!Y52</f>
        <v>0</v>
      </c>
      <c r="AD7" s="7">
        <f>'Grille de métriques'!Z52</f>
        <v>0</v>
      </c>
      <c r="AE7" s="7">
        <f>'Grille de métriques'!AA52</f>
        <v>0</v>
      </c>
      <c r="AF7" s="7">
        <f>'Grille de métriques'!AB52</f>
        <v>0</v>
      </c>
      <c r="AG7" s="7">
        <f>'Grille de métriques'!AC52</f>
        <v>0</v>
      </c>
    </row>
    <row r="8" spans="1:33" ht="14.4" x14ac:dyDescent="0.3">
      <c r="A8" s="7" t="s">
        <v>396</v>
      </c>
      <c r="B8" s="7">
        <f>COUNTIF(Acteurs!B8,1)</f>
        <v>0</v>
      </c>
      <c r="C8" s="7">
        <f>COUNTIF(Acteurs!C8,1)</f>
        <v>0</v>
      </c>
      <c r="D8" s="7">
        <f>COUNTIF(Acteurs!D8,1)</f>
        <v>0</v>
      </c>
      <c r="E8" s="7">
        <f>COUNTIF(Acteurs!E8,1)</f>
        <v>0</v>
      </c>
      <c r="F8" s="7">
        <f>COUNTIF(Acteurs!F8,1)</f>
        <v>0</v>
      </c>
      <c r="G8" s="7">
        <f>'Grille de métriques'!C53</f>
        <v>0</v>
      </c>
      <c r="H8" s="7">
        <f>'Grille de métriques'!D53</f>
        <v>0</v>
      </c>
      <c r="I8" s="7">
        <f>'Grille de métriques'!E53</f>
        <v>0</v>
      </c>
      <c r="J8" s="7">
        <f>'Grille de métriques'!F53</f>
        <v>0</v>
      </c>
      <c r="K8" s="7">
        <f>'Grille de métriques'!G53</f>
        <v>0</v>
      </c>
      <c r="L8" s="7">
        <f>'Grille de métriques'!H53</f>
        <v>0</v>
      </c>
      <c r="M8" s="7">
        <f>'Grille de métriques'!I53</f>
        <v>0</v>
      </c>
      <c r="N8" s="7">
        <f>'Grille de métriques'!J53</f>
        <v>0</v>
      </c>
      <c r="O8" s="7">
        <f>'Grille de métriques'!K53</f>
        <v>0</v>
      </c>
      <c r="P8" s="7">
        <f>'Grille de métriques'!L53</f>
        <v>0</v>
      </c>
      <c r="Q8" s="7">
        <f>'Grille de métriques'!M53</f>
        <v>0</v>
      </c>
      <c r="R8" s="7">
        <f>'Grille de métriques'!N53</f>
        <v>0</v>
      </c>
      <c r="S8" s="7">
        <f>'Grille de métriques'!O53</f>
        <v>0</v>
      </c>
      <c r="T8" s="7">
        <f>'Grille de métriques'!P53</f>
        <v>0</v>
      </c>
      <c r="U8" s="7">
        <f>'Grille de métriques'!Q53</f>
        <v>0</v>
      </c>
      <c r="V8" s="7">
        <f>'Grille de métriques'!R53</f>
        <v>0</v>
      </c>
      <c r="W8" s="7">
        <f>'Grille de métriques'!S53</f>
        <v>0</v>
      </c>
      <c r="X8" s="7">
        <f>'Grille de métriques'!T53</f>
        <v>0</v>
      </c>
      <c r="Y8" s="7">
        <f>'Grille de métriques'!U53</f>
        <v>0</v>
      </c>
      <c r="Z8" s="7">
        <f>'Grille de métriques'!V53</f>
        <v>0</v>
      </c>
      <c r="AA8" s="7">
        <f>'Grille de métriques'!W53</f>
        <v>0</v>
      </c>
      <c r="AB8" s="7">
        <f>'Grille de métriques'!X53</f>
        <v>0</v>
      </c>
      <c r="AC8" s="7">
        <f>'Grille de métriques'!Y53</f>
        <v>0</v>
      </c>
      <c r="AD8" s="7">
        <f>'Grille de métriques'!Z53</f>
        <v>0</v>
      </c>
      <c r="AE8" s="7">
        <f>'Grille de métriques'!AA53</f>
        <v>0</v>
      </c>
      <c r="AF8" s="7">
        <f>'Grille de métriques'!AB53</f>
        <v>0</v>
      </c>
      <c r="AG8" s="7">
        <f>'Grille de métriques'!AC53</f>
        <v>0</v>
      </c>
    </row>
    <row r="9" spans="1:33" ht="14.4" x14ac:dyDescent="0.3">
      <c r="A9" s="7" t="s">
        <v>397</v>
      </c>
      <c r="B9" s="7">
        <f>COUNTIF(Acteurs!B9,1)</f>
        <v>0</v>
      </c>
      <c r="C9" s="7">
        <f>COUNTIF(Acteurs!C9,1)</f>
        <v>0</v>
      </c>
      <c r="D9" s="7">
        <f>COUNTIF(Acteurs!D9,1)</f>
        <v>0</v>
      </c>
      <c r="E9" s="7">
        <f>COUNTIF(Acteurs!E9,1)</f>
        <v>0</v>
      </c>
      <c r="F9" s="7">
        <f>COUNTIF(Acteurs!F9,1)</f>
        <v>0</v>
      </c>
      <c r="G9" s="7">
        <f>'Grille de métriques'!C54</f>
        <v>0</v>
      </c>
      <c r="H9" s="7">
        <f>'Grille de métriques'!D54</f>
        <v>0</v>
      </c>
      <c r="I9" s="7">
        <f>'Grille de métriques'!E54</f>
        <v>0</v>
      </c>
      <c r="J9" s="7">
        <f>'Grille de métriques'!F54</f>
        <v>0</v>
      </c>
      <c r="K9" s="7">
        <f>'Grille de métriques'!G54</f>
        <v>0</v>
      </c>
      <c r="L9" s="7">
        <f>'Grille de métriques'!H54</f>
        <v>0</v>
      </c>
      <c r="M9" s="7">
        <f>'Grille de métriques'!I54</f>
        <v>0</v>
      </c>
      <c r="N9" s="7">
        <f>'Grille de métriques'!J54</f>
        <v>0</v>
      </c>
      <c r="O9" s="7">
        <f>'Grille de métriques'!K54</f>
        <v>0</v>
      </c>
      <c r="P9" s="7">
        <f>'Grille de métriques'!L54</f>
        <v>0</v>
      </c>
      <c r="Q9" s="7">
        <f>'Grille de métriques'!M54</f>
        <v>0</v>
      </c>
      <c r="R9" s="7">
        <f>'Grille de métriques'!N54</f>
        <v>0</v>
      </c>
      <c r="S9" s="7">
        <f>'Grille de métriques'!O54</f>
        <v>0</v>
      </c>
      <c r="T9" s="7">
        <f>'Grille de métriques'!P54</f>
        <v>0</v>
      </c>
      <c r="U9" s="7">
        <f>'Grille de métriques'!Q54</f>
        <v>0</v>
      </c>
      <c r="V9" s="7">
        <f>'Grille de métriques'!R54</f>
        <v>0</v>
      </c>
      <c r="W9" s="7">
        <f>'Grille de métriques'!S54</f>
        <v>0</v>
      </c>
      <c r="X9" s="7">
        <f>'Grille de métriques'!T54</f>
        <v>0</v>
      </c>
      <c r="Y9" s="7">
        <f>'Grille de métriques'!U54</f>
        <v>0</v>
      </c>
      <c r="Z9" s="7">
        <f>'Grille de métriques'!V54</f>
        <v>0</v>
      </c>
      <c r="AA9" s="7">
        <f>'Grille de métriques'!W54</f>
        <v>0</v>
      </c>
      <c r="AB9" s="7">
        <f>'Grille de métriques'!X54</f>
        <v>0</v>
      </c>
      <c r="AC9" s="7">
        <f>'Grille de métriques'!Y54</f>
        <v>0</v>
      </c>
      <c r="AD9" s="7">
        <f>'Grille de métriques'!Z54</f>
        <v>0</v>
      </c>
      <c r="AE9" s="7">
        <f>'Grille de métriques'!AA54</f>
        <v>0</v>
      </c>
      <c r="AF9" s="7">
        <f>'Grille de métriques'!AB54</f>
        <v>0</v>
      </c>
      <c r="AG9" s="7">
        <f>'Grille de métriques'!AC54</f>
        <v>0</v>
      </c>
    </row>
    <row r="10" spans="1:33" ht="14.4" x14ac:dyDescent="0.3">
      <c r="A10" s="7" t="s">
        <v>398</v>
      </c>
      <c r="B10" s="7">
        <f>COUNTIF(Acteurs!B10,1)</f>
        <v>0</v>
      </c>
      <c r="C10" s="7">
        <f>COUNTIF(Acteurs!C10,1)</f>
        <v>0</v>
      </c>
      <c r="D10" s="7">
        <f>COUNTIF(Acteurs!D10,1)</f>
        <v>0</v>
      </c>
      <c r="E10" s="7">
        <f>COUNTIF(Acteurs!E10,1)</f>
        <v>0</v>
      </c>
      <c r="F10" s="7">
        <f>COUNTIF(Acteurs!F10,1)</f>
        <v>0</v>
      </c>
      <c r="G10" s="7">
        <f>'Grille de métriques'!C55</f>
        <v>0</v>
      </c>
      <c r="H10" s="7">
        <f>'Grille de métriques'!D55</f>
        <v>0</v>
      </c>
      <c r="I10" s="7">
        <f>'Grille de métriques'!E55</f>
        <v>0</v>
      </c>
      <c r="J10" s="7">
        <f>'Grille de métriques'!F55</f>
        <v>0</v>
      </c>
      <c r="K10" s="7">
        <f>'Grille de métriques'!G55</f>
        <v>0</v>
      </c>
      <c r="L10" s="7">
        <f>'Grille de métriques'!H55</f>
        <v>0</v>
      </c>
      <c r="M10" s="7">
        <f>'Grille de métriques'!I55</f>
        <v>0</v>
      </c>
      <c r="N10" s="7">
        <f>'Grille de métriques'!J55</f>
        <v>0</v>
      </c>
      <c r="O10" s="7">
        <f>'Grille de métriques'!K55</f>
        <v>0</v>
      </c>
      <c r="P10" s="7">
        <f>'Grille de métriques'!L55</f>
        <v>0</v>
      </c>
      <c r="Q10" s="7">
        <f>'Grille de métriques'!M55</f>
        <v>0</v>
      </c>
      <c r="R10" s="7">
        <f>'Grille de métriques'!N55</f>
        <v>0</v>
      </c>
      <c r="S10" s="7">
        <f>'Grille de métriques'!O55</f>
        <v>0</v>
      </c>
      <c r="T10" s="7">
        <f>'Grille de métriques'!P55</f>
        <v>0</v>
      </c>
      <c r="U10" s="7">
        <f>'Grille de métriques'!Q55</f>
        <v>0</v>
      </c>
      <c r="V10" s="7">
        <f>'Grille de métriques'!R55</f>
        <v>0</v>
      </c>
      <c r="W10" s="7">
        <f>'Grille de métriques'!S55</f>
        <v>0</v>
      </c>
      <c r="X10" s="7">
        <f>'Grille de métriques'!T55</f>
        <v>0</v>
      </c>
      <c r="Y10" s="7">
        <f>'Grille de métriques'!U55</f>
        <v>0</v>
      </c>
      <c r="Z10" s="7">
        <f>'Grille de métriques'!V55</f>
        <v>0</v>
      </c>
      <c r="AA10" s="7">
        <f>'Grille de métriques'!W55</f>
        <v>0</v>
      </c>
      <c r="AB10" s="7">
        <f>'Grille de métriques'!X55</f>
        <v>0</v>
      </c>
      <c r="AC10" s="7">
        <f>'Grille de métriques'!Y55</f>
        <v>0</v>
      </c>
      <c r="AD10" s="7">
        <f>'Grille de métriques'!Z55</f>
        <v>0</v>
      </c>
      <c r="AE10" s="7">
        <f>'Grille de métriques'!AA55</f>
        <v>0</v>
      </c>
      <c r="AF10" s="7">
        <f>'Grille de métriques'!AB55</f>
        <v>0</v>
      </c>
      <c r="AG10" s="7">
        <f>'Grille de métriques'!AC55</f>
        <v>0</v>
      </c>
    </row>
    <row r="11" spans="1:33" ht="14.4" x14ac:dyDescent="0.3">
      <c r="A11" s="7" t="s">
        <v>399</v>
      </c>
      <c r="B11" s="7">
        <f>COUNTIF(Acteurs!B11,1)</f>
        <v>0</v>
      </c>
      <c r="C11" s="7">
        <f>COUNTIF(Acteurs!C11,1)</f>
        <v>0</v>
      </c>
      <c r="D11" s="7">
        <f>COUNTIF(Acteurs!D11,1)</f>
        <v>0</v>
      </c>
      <c r="E11" s="7">
        <f>COUNTIF(Acteurs!E11,1)</f>
        <v>0</v>
      </c>
      <c r="F11" s="7">
        <f>COUNTIF(Acteurs!F11,1)</f>
        <v>0</v>
      </c>
      <c r="G11" s="7">
        <f>'Grille de métriques'!C56</f>
        <v>0</v>
      </c>
      <c r="H11" s="7">
        <f>'Grille de métriques'!D56</f>
        <v>0</v>
      </c>
      <c r="I11" s="7">
        <f>'Grille de métriques'!E56</f>
        <v>0</v>
      </c>
      <c r="J11" s="7">
        <f>'Grille de métriques'!F56</f>
        <v>0</v>
      </c>
      <c r="K11" s="7">
        <f>'Grille de métriques'!G56</f>
        <v>0</v>
      </c>
      <c r="L11" s="7">
        <f>'Grille de métriques'!H56</f>
        <v>0</v>
      </c>
      <c r="M11" s="7">
        <f>'Grille de métriques'!I56</f>
        <v>0</v>
      </c>
      <c r="N11" s="7">
        <f>'Grille de métriques'!J56</f>
        <v>0</v>
      </c>
      <c r="O11" s="7">
        <f>'Grille de métriques'!K56</f>
        <v>0</v>
      </c>
      <c r="P11" s="7">
        <f>'Grille de métriques'!L56</f>
        <v>0</v>
      </c>
      <c r="Q11" s="7">
        <f>'Grille de métriques'!M56</f>
        <v>0</v>
      </c>
      <c r="R11" s="7">
        <f>'Grille de métriques'!N56</f>
        <v>0</v>
      </c>
      <c r="S11" s="7">
        <f>'Grille de métriques'!O56</f>
        <v>0</v>
      </c>
      <c r="T11" s="7">
        <f>'Grille de métriques'!P56</f>
        <v>0</v>
      </c>
      <c r="U11" s="7">
        <f>'Grille de métriques'!Q56</f>
        <v>0</v>
      </c>
      <c r="V11" s="7">
        <f>'Grille de métriques'!R56</f>
        <v>0</v>
      </c>
      <c r="W11" s="7">
        <f>'Grille de métriques'!S56</f>
        <v>0</v>
      </c>
      <c r="X11" s="7">
        <f>'Grille de métriques'!T56</f>
        <v>0</v>
      </c>
      <c r="Y11" s="7">
        <f>'Grille de métriques'!U56</f>
        <v>0</v>
      </c>
      <c r="Z11" s="7">
        <f>'Grille de métriques'!V56</f>
        <v>0</v>
      </c>
      <c r="AA11" s="7">
        <f>'Grille de métriques'!W56</f>
        <v>0</v>
      </c>
      <c r="AB11" s="7">
        <f>'Grille de métriques'!X56</f>
        <v>0</v>
      </c>
      <c r="AC11" s="7">
        <f>'Grille de métriques'!Y56</f>
        <v>0</v>
      </c>
      <c r="AD11" s="7">
        <f>'Grille de métriques'!Z56</f>
        <v>0</v>
      </c>
      <c r="AE11" s="7">
        <f>'Grille de métriques'!AA56</f>
        <v>0</v>
      </c>
      <c r="AF11" s="7">
        <f>'Grille de métriques'!AB56</f>
        <v>0</v>
      </c>
      <c r="AG11" s="7">
        <f>'Grille de métriques'!AC56</f>
        <v>0</v>
      </c>
    </row>
    <row r="12" spans="1:33" ht="14.4" x14ac:dyDescent="0.3">
      <c r="A12" s="7" t="s">
        <v>400</v>
      </c>
      <c r="B12" s="7">
        <f>COUNTIF(Acteurs!B12,1)</f>
        <v>0</v>
      </c>
      <c r="C12" s="7">
        <f>COUNTIF(Acteurs!C12,1)</f>
        <v>0</v>
      </c>
      <c r="D12" s="7">
        <f>COUNTIF(Acteurs!D12,1)</f>
        <v>0</v>
      </c>
      <c r="E12" s="7">
        <f>COUNTIF(Acteurs!E12,1)</f>
        <v>0</v>
      </c>
      <c r="F12" s="7">
        <f>COUNTIF(Acteurs!F12,1)</f>
        <v>0</v>
      </c>
      <c r="G12" s="7">
        <f>'Grille de métriques'!C57</f>
        <v>0</v>
      </c>
      <c r="H12" s="7">
        <f>'Grille de métriques'!D57</f>
        <v>0</v>
      </c>
      <c r="I12" s="7">
        <f>'Grille de métriques'!E57</f>
        <v>0</v>
      </c>
      <c r="J12" s="7">
        <f>'Grille de métriques'!F57</f>
        <v>0</v>
      </c>
      <c r="K12" s="7">
        <f>'Grille de métriques'!G57</f>
        <v>0</v>
      </c>
      <c r="L12" s="7">
        <f>'Grille de métriques'!H57</f>
        <v>0</v>
      </c>
      <c r="M12" s="7">
        <f>'Grille de métriques'!I57</f>
        <v>0</v>
      </c>
      <c r="N12" s="7">
        <f>'Grille de métriques'!J57</f>
        <v>0</v>
      </c>
      <c r="O12" s="7">
        <f>'Grille de métriques'!K57</f>
        <v>0</v>
      </c>
      <c r="P12" s="7">
        <f>'Grille de métriques'!L57</f>
        <v>0</v>
      </c>
      <c r="Q12" s="7">
        <f>'Grille de métriques'!M57</f>
        <v>0</v>
      </c>
      <c r="R12" s="7">
        <f>'Grille de métriques'!N57</f>
        <v>0</v>
      </c>
      <c r="S12" s="7">
        <f>'Grille de métriques'!O57</f>
        <v>0</v>
      </c>
      <c r="T12" s="7">
        <f>'Grille de métriques'!P57</f>
        <v>0</v>
      </c>
      <c r="U12" s="7">
        <f>'Grille de métriques'!Q57</f>
        <v>0</v>
      </c>
      <c r="V12" s="7">
        <f>'Grille de métriques'!R57</f>
        <v>0</v>
      </c>
      <c r="W12" s="7">
        <f>'Grille de métriques'!S57</f>
        <v>0</v>
      </c>
      <c r="X12" s="7">
        <f>'Grille de métriques'!T57</f>
        <v>0</v>
      </c>
      <c r="Y12" s="7">
        <f>'Grille de métriques'!U57</f>
        <v>0</v>
      </c>
      <c r="Z12" s="7">
        <f>'Grille de métriques'!V57</f>
        <v>0</v>
      </c>
      <c r="AA12" s="7">
        <f>'Grille de métriques'!W57</f>
        <v>0</v>
      </c>
      <c r="AB12" s="7">
        <f>'Grille de métriques'!X57</f>
        <v>0</v>
      </c>
      <c r="AC12" s="7">
        <f>'Grille de métriques'!Y57</f>
        <v>0</v>
      </c>
      <c r="AD12" s="7">
        <f>'Grille de métriques'!Z57</f>
        <v>0</v>
      </c>
      <c r="AE12" s="7">
        <f>'Grille de métriques'!AA57</f>
        <v>0</v>
      </c>
      <c r="AF12" s="7">
        <f>'Grille de métriques'!AB57</f>
        <v>0</v>
      </c>
      <c r="AG12" s="7">
        <f>'Grille de métriques'!AC57</f>
        <v>0</v>
      </c>
    </row>
    <row r="13" spans="1:33" ht="14.4" x14ac:dyDescent="0.3">
      <c r="A13" s="7" t="s">
        <v>401</v>
      </c>
      <c r="B13" s="7">
        <f>COUNTIF(Acteurs!B13,1)</f>
        <v>0</v>
      </c>
      <c r="C13" s="7">
        <f>COUNTIF(Acteurs!C13,1)</f>
        <v>0</v>
      </c>
      <c r="D13" s="7">
        <f>COUNTIF(Acteurs!D13,1)</f>
        <v>0</v>
      </c>
      <c r="E13" s="7">
        <f>COUNTIF(Acteurs!E13,1)</f>
        <v>0</v>
      </c>
      <c r="F13" s="7">
        <f>COUNTIF(Acteurs!F13,1)</f>
        <v>0</v>
      </c>
      <c r="G13" s="7">
        <f>'Grille de métriques'!C58</f>
        <v>0</v>
      </c>
      <c r="H13" s="7">
        <f>'Grille de métriques'!D58</f>
        <v>0</v>
      </c>
      <c r="I13" s="7">
        <f>'Grille de métriques'!E58</f>
        <v>0</v>
      </c>
      <c r="J13" s="7">
        <f>'Grille de métriques'!F58</f>
        <v>0</v>
      </c>
      <c r="K13" s="7">
        <f>'Grille de métriques'!G58</f>
        <v>0</v>
      </c>
      <c r="L13" s="7">
        <f>'Grille de métriques'!H58</f>
        <v>0</v>
      </c>
      <c r="M13" s="7">
        <f>'Grille de métriques'!I58</f>
        <v>0</v>
      </c>
      <c r="N13" s="7">
        <f>'Grille de métriques'!J58</f>
        <v>0</v>
      </c>
      <c r="O13" s="7">
        <f>'Grille de métriques'!K58</f>
        <v>0</v>
      </c>
      <c r="P13" s="7">
        <f>'Grille de métriques'!L58</f>
        <v>0</v>
      </c>
      <c r="Q13" s="7">
        <f>'Grille de métriques'!M58</f>
        <v>0</v>
      </c>
      <c r="R13" s="7">
        <f>'Grille de métriques'!N58</f>
        <v>0</v>
      </c>
      <c r="S13" s="7">
        <f>'Grille de métriques'!O58</f>
        <v>0</v>
      </c>
      <c r="T13" s="7">
        <f>'Grille de métriques'!P58</f>
        <v>0</v>
      </c>
      <c r="U13" s="7">
        <f>'Grille de métriques'!Q58</f>
        <v>0</v>
      </c>
      <c r="V13" s="7">
        <f>'Grille de métriques'!R58</f>
        <v>0</v>
      </c>
      <c r="W13" s="7">
        <f>'Grille de métriques'!S58</f>
        <v>0</v>
      </c>
      <c r="X13" s="7">
        <f>'Grille de métriques'!T58</f>
        <v>0</v>
      </c>
      <c r="Y13" s="7">
        <f>'Grille de métriques'!U58</f>
        <v>0</v>
      </c>
      <c r="Z13" s="7">
        <f>'Grille de métriques'!V58</f>
        <v>0</v>
      </c>
      <c r="AA13" s="7">
        <f>'Grille de métriques'!W58</f>
        <v>0</v>
      </c>
      <c r="AB13" s="7">
        <f>'Grille de métriques'!X58</f>
        <v>0</v>
      </c>
      <c r="AC13" s="7">
        <f>'Grille de métriques'!Y58</f>
        <v>0</v>
      </c>
      <c r="AD13" s="7">
        <f>'Grille de métriques'!Z58</f>
        <v>0</v>
      </c>
      <c r="AE13" s="7">
        <f>'Grille de métriques'!AA58</f>
        <v>0</v>
      </c>
      <c r="AF13" s="7">
        <f>'Grille de métriques'!AB58</f>
        <v>0</v>
      </c>
      <c r="AG13" s="7">
        <f>'Grille de métriques'!AC58</f>
        <v>0</v>
      </c>
    </row>
    <row r="14" spans="1:33" ht="14.4" x14ac:dyDescent="0.3">
      <c r="A14" s="7" t="s">
        <v>402</v>
      </c>
      <c r="B14" s="7">
        <f>COUNTIF(Acteurs!B14,1)</f>
        <v>0</v>
      </c>
      <c r="C14" s="7">
        <f>COUNTIF(Acteurs!C14,1)</f>
        <v>0</v>
      </c>
      <c r="D14" s="7">
        <f>COUNTIF(Acteurs!D14,1)</f>
        <v>0</v>
      </c>
      <c r="E14" s="7">
        <f>COUNTIF(Acteurs!E14,1)</f>
        <v>0</v>
      </c>
      <c r="F14" s="7">
        <f>COUNTIF(Acteurs!F14,1)</f>
        <v>0</v>
      </c>
      <c r="G14" s="7">
        <f>'Grille de métriques'!C59</f>
        <v>0</v>
      </c>
      <c r="H14" s="7">
        <f>'Grille de métriques'!D59</f>
        <v>0</v>
      </c>
      <c r="I14" s="7">
        <f>'Grille de métriques'!E59</f>
        <v>0</v>
      </c>
      <c r="J14" s="7">
        <f>'Grille de métriques'!F59</f>
        <v>0</v>
      </c>
      <c r="K14" s="7">
        <f>'Grille de métriques'!G59</f>
        <v>0</v>
      </c>
      <c r="L14" s="7">
        <f>'Grille de métriques'!H59</f>
        <v>0</v>
      </c>
      <c r="M14" s="7">
        <f>'Grille de métriques'!I59</f>
        <v>0</v>
      </c>
      <c r="N14" s="7">
        <f>'Grille de métriques'!J59</f>
        <v>0</v>
      </c>
      <c r="O14" s="7">
        <f>'Grille de métriques'!K59</f>
        <v>0</v>
      </c>
      <c r="P14" s="7">
        <f>'Grille de métriques'!L59</f>
        <v>0</v>
      </c>
      <c r="Q14" s="7">
        <f>'Grille de métriques'!M59</f>
        <v>0</v>
      </c>
      <c r="R14" s="7">
        <f>'Grille de métriques'!N59</f>
        <v>0</v>
      </c>
      <c r="S14" s="7">
        <f>'Grille de métriques'!O59</f>
        <v>0</v>
      </c>
      <c r="T14" s="7">
        <f>'Grille de métriques'!P59</f>
        <v>0</v>
      </c>
      <c r="U14" s="7">
        <f>'Grille de métriques'!Q59</f>
        <v>0</v>
      </c>
      <c r="V14" s="7">
        <f>'Grille de métriques'!R59</f>
        <v>0</v>
      </c>
      <c r="W14" s="7">
        <f>'Grille de métriques'!S59</f>
        <v>0</v>
      </c>
      <c r="X14" s="7">
        <f>'Grille de métriques'!T59</f>
        <v>0</v>
      </c>
      <c r="Y14" s="7">
        <f>'Grille de métriques'!U59</f>
        <v>0</v>
      </c>
      <c r="Z14" s="7">
        <f>'Grille de métriques'!V59</f>
        <v>0</v>
      </c>
      <c r="AA14" s="7">
        <f>'Grille de métriques'!W59</f>
        <v>0</v>
      </c>
      <c r="AB14" s="7">
        <f>'Grille de métriques'!X59</f>
        <v>0</v>
      </c>
      <c r="AC14" s="7">
        <f>'Grille de métriques'!Y59</f>
        <v>0</v>
      </c>
      <c r="AD14" s="7">
        <f>'Grille de métriques'!Z59</f>
        <v>0</v>
      </c>
      <c r="AE14" s="7">
        <f>'Grille de métriques'!AA59</f>
        <v>0</v>
      </c>
      <c r="AF14" s="7">
        <f>'Grille de métriques'!AB59</f>
        <v>0</v>
      </c>
      <c r="AG14" s="7">
        <f>'Grille de métriques'!AC59</f>
        <v>0</v>
      </c>
    </row>
    <row r="15" spans="1:33" ht="14.4" x14ac:dyDescent="0.3">
      <c r="A15" s="7" t="s">
        <v>403</v>
      </c>
      <c r="B15" s="7">
        <f>COUNTIF(Acteurs!B15,1)</f>
        <v>0</v>
      </c>
      <c r="C15" s="7">
        <f>COUNTIF(Acteurs!C15,1)</f>
        <v>0</v>
      </c>
      <c r="D15" s="7">
        <f>COUNTIF(Acteurs!D15,1)</f>
        <v>0</v>
      </c>
      <c r="E15" s="7">
        <f>COUNTIF(Acteurs!E15,1)</f>
        <v>0</v>
      </c>
      <c r="F15" s="7">
        <f>COUNTIF(Acteurs!F15,1)</f>
        <v>0</v>
      </c>
      <c r="G15" s="7">
        <f>'Grille de métriques'!C60</f>
        <v>0</v>
      </c>
      <c r="H15" s="7">
        <f>'Grille de métriques'!D60</f>
        <v>0</v>
      </c>
      <c r="I15" s="7">
        <f>'Grille de métriques'!E60</f>
        <v>0</v>
      </c>
      <c r="J15" s="7">
        <f>'Grille de métriques'!F60</f>
        <v>0</v>
      </c>
      <c r="K15" s="7">
        <f>'Grille de métriques'!G60</f>
        <v>0</v>
      </c>
      <c r="L15" s="7">
        <f>'Grille de métriques'!H60</f>
        <v>0</v>
      </c>
      <c r="M15" s="7">
        <f>'Grille de métriques'!I60</f>
        <v>0</v>
      </c>
      <c r="N15" s="7">
        <f>'Grille de métriques'!J60</f>
        <v>0</v>
      </c>
      <c r="O15" s="7">
        <f>'Grille de métriques'!K60</f>
        <v>0</v>
      </c>
      <c r="P15" s="7">
        <f>'Grille de métriques'!L60</f>
        <v>0</v>
      </c>
      <c r="Q15" s="7">
        <f>'Grille de métriques'!M60</f>
        <v>0</v>
      </c>
      <c r="R15" s="7">
        <f>'Grille de métriques'!N60</f>
        <v>0</v>
      </c>
      <c r="S15" s="7">
        <f>'Grille de métriques'!O60</f>
        <v>0</v>
      </c>
      <c r="T15" s="7">
        <f>'Grille de métriques'!P60</f>
        <v>0</v>
      </c>
      <c r="U15" s="7">
        <f>'Grille de métriques'!Q60</f>
        <v>0</v>
      </c>
      <c r="V15" s="7">
        <f>'Grille de métriques'!R60</f>
        <v>0</v>
      </c>
      <c r="W15" s="7">
        <f>'Grille de métriques'!S60</f>
        <v>0</v>
      </c>
      <c r="X15" s="7">
        <f>'Grille de métriques'!T60</f>
        <v>0</v>
      </c>
      <c r="Y15" s="7">
        <f>'Grille de métriques'!U60</f>
        <v>0</v>
      </c>
      <c r="Z15" s="7">
        <f>'Grille de métriques'!V60</f>
        <v>0</v>
      </c>
      <c r="AA15" s="7">
        <f>'Grille de métriques'!W60</f>
        <v>0</v>
      </c>
      <c r="AB15" s="7">
        <f>'Grille de métriques'!X60</f>
        <v>0</v>
      </c>
      <c r="AC15" s="7">
        <f>'Grille de métriques'!Y60</f>
        <v>0</v>
      </c>
      <c r="AD15" s="7">
        <f>'Grille de métriques'!Z60</f>
        <v>0</v>
      </c>
      <c r="AE15" s="7">
        <f>'Grille de métriques'!AA60</f>
        <v>0</v>
      </c>
      <c r="AF15" s="7">
        <f>'Grille de métriques'!AB60</f>
        <v>0</v>
      </c>
      <c r="AG15" s="7">
        <f>'Grille de métriques'!AC60</f>
        <v>0</v>
      </c>
    </row>
    <row r="16" spans="1:33" ht="14.4" x14ac:dyDescent="0.3">
      <c r="A16" s="7" t="s">
        <v>404</v>
      </c>
      <c r="B16" s="7">
        <f>COUNTIF(Acteurs!B16,1)</f>
        <v>0</v>
      </c>
      <c r="C16" s="7">
        <f>COUNTIF(Acteurs!C16,1)</f>
        <v>0</v>
      </c>
      <c r="D16" s="7">
        <f>COUNTIF(Acteurs!D16,1)</f>
        <v>0</v>
      </c>
      <c r="E16" s="7">
        <f>COUNTIF(Acteurs!E16,1)</f>
        <v>0</v>
      </c>
      <c r="F16" s="7">
        <f>COUNTIF(Acteurs!F16,1)</f>
        <v>0</v>
      </c>
      <c r="G16" s="7">
        <f>'Grille de métriques'!C61</f>
        <v>0</v>
      </c>
      <c r="H16" s="7">
        <f>'Grille de métriques'!D61</f>
        <v>0</v>
      </c>
      <c r="I16" s="7">
        <f>'Grille de métriques'!E61</f>
        <v>0</v>
      </c>
      <c r="J16" s="7">
        <f>'Grille de métriques'!F61</f>
        <v>0</v>
      </c>
      <c r="K16" s="7">
        <f>'Grille de métriques'!G61</f>
        <v>0</v>
      </c>
      <c r="L16" s="7">
        <f>'Grille de métriques'!H61</f>
        <v>0</v>
      </c>
      <c r="M16" s="7">
        <f>'Grille de métriques'!I61</f>
        <v>0</v>
      </c>
      <c r="N16" s="7">
        <f>'Grille de métriques'!J61</f>
        <v>0</v>
      </c>
      <c r="O16" s="7">
        <f>'Grille de métriques'!K61</f>
        <v>0</v>
      </c>
      <c r="P16" s="7">
        <f>'Grille de métriques'!L61</f>
        <v>0</v>
      </c>
      <c r="Q16" s="7">
        <f>'Grille de métriques'!M61</f>
        <v>0</v>
      </c>
      <c r="R16" s="7">
        <f>'Grille de métriques'!N61</f>
        <v>0</v>
      </c>
      <c r="S16" s="7">
        <f>'Grille de métriques'!O61</f>
        <v>0</v>
      </c>
      <c r="T16" s="7">
        <f>'Grille de métriques'!P61</f>
        <v>0</v>
      </c>
      <c r="U16" s="7">
        <f>'Grille de métriques'!Q61</f>
        <v>0</v>
      </c>
      <c r="V16" s="7">
        <f>'Grille de métriques'!R61</f>
        <v>0</v>
      </c>
      <c r="W16" s="7">
        <f>'Grille de métriques'!S61</f>
        <v>0</v>
      </c>
      <c r="X16" s="7">
        <f>'Grille de métriques'!T61</f>
        <v>0</v>
      </c>
      <c r="Y16" s="7">
        <f>'Grille de métriques'!U61</f>
        <v>0</v>
      </c>
      <c r="Z16" s="7">
        <f>'Grille de métriques'!V61</f>
        <v>0</v>
      </c>
      <c r="AA16" s="7">
        <f>'Grille de métriques'!W61</f>
        <v>0</v>
      </c>
      <c r="AB16" s="7">
        <f>'Grille de métriques'!X61</f>
        <v>0</v>
      </c>
      <c r="AC16" s="7">
        <f>'Grille de métriques'!Y61</f>
        <v>0</v>
      </c>
      <c r="AD16" s="7">
        <f>'Grille de métriques'!Z61</f>
        <v>0</v>
      </c>
      <c r="AE16" s="7">
        <f>'Grille de métriques'!AA61</f>
        <v>0</v>
      </c>
      <c r="AF16" s="7">
        <f>'Grille de métriques'!AB61</f>
        <v>0</v>
      </c>
      <c r="AG16" s="7">
        <f>'Grille de métriques'!AC61</f>
        <v>0</v>
      </c>
    </row>
    <row r="17" spans="1:33" ht="14.4" x14ac:dyDescent="0.3">
      <c r="A17" s="7" t="s">
        <v>405</v>
      </c>
      <c r="B17" s="7">
        <f>COUNTIF(Acteurs!B17,1)</f>
        <v>0</v>
      </c>
      <c r="C17" s="7">
        <f>COUNTIF(Acteurs!C17,1)</f>
        <v>0</v>
      </c>
      <c r="D17" s="7">
        <f>COUNTIF(Acteurs!D17,1)</f>
        <v>0</v>
      </c>
      <c r="E17" s="7">
        <f>COUNTIF(Acteurs!E17,1)</f>
        <v>0</v>
      </c>
      <c r="F17" s="7">
        <f>COUNTIF(Acteurs!F17,1)</f>
        <v>0</v>
      </c>
      <c r="G17" s="7">
        <f>'Grille de métriques'!C62</f>
        <v>0</v>
      </c>
      <c r="H17" s="7">
        <f>'Grille de métriques'!D62</f>
        <v>0</v>
      </c>
      <c r="I17" s="7">
        <f>'Grille de métriques'!E62</f>
        <v>0</v>
      </c>
      <c r="J17" s="7">
        <f>'Grille de métriques'!F62</f>
        <v>0</v>
      </c>
      <c r="K17" s="7">
        <f>'Grille de métriques'!G62</f>
        <v>0</v>
      </c>
      <c r="L17" s="7">
        <f>'Grille de métriques'!H62</f>
        <v>0</v>
      </c>
      <c r="M17" s="7">
        <f>'Grille de métriques'!I62</f>
        <v>0</v>
      </c>
      <c r="N17" s="7">
        <f>'Grille de métriques'!J62</f>
        <v>0</v>
      </c>
      <c r="O17" s="7">
        <f>'Grille de métriques'!K62</f>
        <v>0</v>
      </c>
      <c r="P17" s="7">
        <f>'Grille de métriques'!L62</f>
        <v>0</v>
      </c>
      <c r="Q17" s="7">
        <f>'Grille de métriques'!M62</f>
        <v>0</v>
      </c>
      <c r="R17" s="7">
        <f>'Grille de métriques'!N62</f>
        <v>0</v>
      </c>
      <c r="S17" s="7">
        <f>'Grille de métriques'!O62</f>
        <v>0</v>
      </c>
      <c r="T17" s="7">
        <f>'Grille de métriques'!P62</f>
        <v>0</v>
      </c>
      <c r="U17" s="7">
        <f>'Grille de métriques'!Q62</f>
        <v>0</v>
      </c>
      <c r="V17" s="7">
        <f>'Grille de métriques'!R62</f>
        <v>0</v>
      </c>
      <c r="W17" s="7">
        <f>'Grille de métriques'!S62</f>
        <v>0</v>
      </c>
      <c r="X17" s="7">
        <f>'Grille de métriques'!T62</f>
        <v>0</v>
      </c>
      <c r="Y17" s="7">
        <f>'Grille de métriques'!U62</f>
        <v>0</v>
      </c>
      <c r="Z17" s="7">
        <f>'Grille de métriques'!V62</f>
        <v>0</v>
      </c>
      <c r="AA17" s="7">
        <f>'Grille de métriques'!W62</f>
        <v>0</v>
      </c>
      <c r="AB17" s="7">
        <f>'Grille de métriques'!X62</f>
        <v>0</v>
      </c>
      <c r="AC17" s="7">
        <f>'Grille de métriques'!Y62</f>
        <v>0</v>
      </c>
      <c r="AD17" s="7">
        <f>'Grille de métriques'!Z62</f>
        <v>0</v>
      </c>
      <c r="AE17" s="7">
        <f>'Grille de métriques'!AA62</f>
        <v>0</v>
      </c>
      <c r="AF17" s="7">
        <f>'Grille de métriques'!AB62</f>
        <v>0</v>
      </c>
      <c r="AG17" s="7">
        <f>'Grille de métriques'!AC62</f>
        <v>0</v>
      </c>
    </row>
    <row r="18" spans="1:33" ht="14.4" x14ac:dyDescent="0.3">
      <c r="A18" s="7" t="s">
        <v>406</v>
      </c>
      <c r="B18" s="7">
        <f>COUNTIF(Acteurs!B18,1)</f>
        <v>0</v>
      </c>
      <c r="C18" s="7">
        <f>COUNTIF(Acteurs!C18,1)</f>
        <v>0</v>
      </c>
      <c r="D18" s="7">
        <f>COUNTIF(Acteurs!D18,1)</f>
        <v>0</v>
      </c>
      <c r="E18" s="7">
        <f>COUNTIF(Acteurs!E18,1)</f>
        <v>0</v>
      </c>
      <c r="F18" s="7">
        <f>COUNTIF(Acteurs!F18,1)</f>
        <v>0</v>
      </c>
      <c r="G18" s="7">
        <f>'Grille de métriques'!C63</f>
        <v>0</v>
      </c>
      <c r="H18" s="7">
        <f>'Grille de métriques'!D63</f>
        <v>0</v>
      </c>
      <c r="I18" s="7">
        <f>'Grille de métriques'!E63</f>
        <v>0</v>
      </c>
      <c r="J18" s="7">
        <f>'Grille de métriques'!F63</f>
        <v>0</v>
      </c>
      <c r="K18" s="7">
        <f>'Grille de métriques'!G63</f>
        <v>0</v>
      </c>
      <c r="L18" s="7">
        <f>'Grille de métriques'!H63</f>
        <v>0</v>
      </c>
      <c r="M18" s="7">
        <f>'Grille de métriques'!I63</f>
        <v>0</v>
      </c>
      <c r="N18" s="7">
        <f>'Grille de métriques'!J63</f>
        <v>0</v>
      </c>
      <c r="O18" s="7">
        <f>'Grille de métriques'!K63</f>
        <v>0</v>
      </c>
      <c r="P18" s="7">
        <f>'Grille de métriques'!L63</f>
        <v>0</v>
      </c>
      <c r="Q18" s="7">
        <f>'Grille de métriques'!M63</f>
        <v>0</v>
      </c>
      <c r="R18" s="7">
        <f>'Grille de métriques'!N63</f>
        <v>0</v>
      </c>
      <c r="S18" s="7">
        <f>'Grille de métriques'!O63</f>
        <v>0</v>
      </c>
      <c r="T18" s="7">
        <f>'Grille de métriques'!P63</f>
        <v>0</v>
      </c>
      <c r="U18" s="7">
        <f>'Grille de métriques'!Q63</f>
        <v>0</v>
      </c>
      <c r="V18" s="7">
        <f>'Grille de métriques'!R63</f>
        <v>0</v>
      </c>
      <c r="W18" s="7">
        <f>'Grille de métriques'!S63</f>
        <v>0</v>
      </c>
      <c r="X18" s="7">
        <f>'Grille de métriques'!T63</f>
        <v>0</v>
      </c>
      <c r="Y18" s="7">
        <f>'Grille de métriques'!U63</f>
        <v>0</v>
      </c>
      <c r="Z18" s="7">
        <f>'Grille de métriques'!V63</f>
        <v>0</v>
      </c>
      <c r="AA18" s="7">
        <f>'Grille de métriques'!W63</f>
        <v>0</v>
      </c>
      <c r="AB18" s="7">
        <f>'Grille de métriques'!X63</f>
        <v>0</v>
      </c>
      <c r="AC18" s="7">
        <f>'Grille de métriques'!Y63</f>
        <v>0</v>
      </c>
      <c r="AD18" s="7">
        <f>'Grille de métriques'!Z63</f>
        <v>0</v>
      </c>
      <c r="AE18" s="7">
        <f>'Grille de métriques'!AA63</f>
        <v>0</v>
      </c>
      <c r="AF18" s="7">
        <f>'Grille de métriques'!AB63</f>
        <v>0</v>
      </c>
      <c r="AG18" s="7">
        <f>'Grille de métriques'!AC63</f>
        <v>0</v>
      </c>
    </row>
    <row r="19" spans="1:33" ht="14.4" x14ac:dyDescent="0.3">
      <c r="A19" s="7" t="s">
        <v>407</v>
      </c>
      <c r="B19" s="7">
        <f>COUNTIF(Acteurs!B19,1)</f>
        <v>0</v>
      </c>
      <c r="C19" s="7">
        <f>COUNTIF(Acteurs!C19,1)</f>
        <v>0</v>
      </c>
      <c r="D19" s="7">
        <f>COUNTIF(Acteurs!D19,1)</f>
        <v>0</v>
      </c>
      <c r="E19" s="7">
        <f>COUNTIF(Acteurs!E19,1)</f>
        <v>0</v>
      </c>
      <c r="F19" s="7">
        <f>COUNTIF(Acteurs!F19,1)</f>
        <v>0</v>
      </c>
      <c r="G19" s="7">
        <f>'Grille de métriques'!C64</f>
        <v>0</v>
      </c>
      <c r="H19" s="7">
        <f>'Grille de métriques'!D64</f>
        <v>0</v>
      </c>
      <c r="I19" s="7">
        <f>'Grille de métriques'!E64</f>
        <v>0</v>
      </c>
      <c r="J19" s="7">
        <f>'Grille de métriques'!F64</f>
        <v>0</v>
      </c>
      <c r="K19" s="7">
        <f>'Grille de métriques'!G64</f>
        <v>0</v>
      </c>
      <c r="L19" s="7">
        <f>'Grille de métriques'!H64</f>
        <v>0</v>
      </c>
      <c r="M19" s="7">
        <f>'Grille de métriques'!I64</f>
        <v>0</v>
      </c>
      <c r="N19" s="7">
        <f>'Grille de métriques'!J64</f>
        <v>0</v>
      </c>
      <c r="O19" s="7">
        <f>'Grille de métriques'!K64</f>
        <v>0</v>
      </c>
      <c r="P19" s="7">
        <f>'Grille de métriques'!L64</f>
        <v>0</v>
      </c>
      <c r="Q19" s="7">
        <f>'Grille de métriques'!M64</f>
        <v>0</v>
      </c>
      <c r="R19" s="7">
        <f>'Grille de métriques'!N64</f>
        <v>0</v>
      </c>
      <c r="S19" s="7">
        <f>'Grille de métriques'!O64</f>
        <v>0</v>
      </c>
      <c r="T19" s="7">
        <f>'Grille de métriques'!P64</f>
        <v>0</v>
      </c>
      <c r="U19" s="7">
        <f>'Grille de métriques'!Q64</f>
        <v>0</v>
      </c>
      <c r="V19" s="7">
        <f>'Grille de métriques'!R64</f>
        <v>0</v>
      </c>
      <c r="W19" s="7">
        <f>'Grille de métriques'!S64</f>
        <v>0</v>
      </c>
      <c r="X19" s="7">
        <f>'Grille de métriques'!T64</f>
        <v>0</v>
      </c>
      <c r="Y19" s="7">
        <f>'Grille de métriques'!U64</f>
        <v>0</v>
      </c>
      <c r="Z19" s="7">
        <f>'Grille de métriques'!V64</f>
        <v>0</v>
      </c>
      <c r="AA19" s="7">
        <f>'Grille de métriques'!W64</f>
        <v>0</v>
      </c>
      <c r="AB19" s="7">
        <f>'Grille de métriques'!X64</f>
        <v>0</v>
      </c>
      <c r="AC19" s="7">
        <f>'Grille de métriques'!Y64</f>
        <v>0</v>
      </c>
      <c r="AD19" s="7">
        <f>'Grille de métriques'!Z64</f>
        <v>0</v>
      </c>
      <c r="AE19" s="7">
        <f>'Grille de métriques'!AA64</f>
        <v>0</v>
      </c>
      <c r="AF19" s="7">
        <f>'Grille de métriques'!AB64</f>
        <v>0</v>
      </c>
      <c r="AG19" s="7">
        <f>'Grille de métriques'!AC64</f>
        <v>0</v>
      </c>
    </row>
    <row r="20" spans="1:33" ht="14.4" x14ac:dyDescent="0.3">
      <c r="A20" s="7" t="s">
        <v>408</v>
      </c>
      <c r="B20" s="7">
        <f>COUNTIF(Acteurs!B20,1)</f>
        <v>0</v>
      </c>
      <c r="C20" s="7">
        <f>COUNTIF(Acteurs!C20,1)</f>
        <v>0</v>
      </c>
      <c r="D20" s="7">
        <f>COUNTIF(Acteurs!D20,1)</f>
        <v>0</v>
      </c>
      <c r="E20" s="7">
        <f>COUNTIF(Acteurs!E20,1)</f>
        <v>0</v>
      </c>
      <c r="F20" s="7">
        <f>COUNTIF(Acteurs!F20,1)</f>
        <v>0</v>
      </c>
      <c r="G20" s="7">
        <f>'Grille de métriques'!C65</f>
        <v>0</v>
      </c>
      <c r="H20" s="7">
        <f>'Grille de métriques'!D65</f>
        <v>0</v>
      </c>
      <c r="I20" s="7">
        <f>'Grille de métriques'!E65</f>
        <v>0</v>
      </c>
      <c r="J20" s="7">
        <f>'Grille de métriques'!F65</f>
        <v>0</v>
      </c>
      <c r="K20" s="7">
        <f>'Grille de métriques'!G65</f>
        <v>0</v>
      </c>
      <c r="L20" s="7">
        <f>'Grille de métriques'!H65</f>
        <v>0</v>
      </c>
      <c r="M20" s="7">
        <f>'Grille de métriques'!I65</f>
        <v>0</v>
      </c>
      <c r="N20" s="7">
        <f>'Grille de métriques'!J65</f>
        <v>0</v>
      </c>
      <c r="O20" s="7">
        <f>'Grille de métriques'!K65</f>
        <v>0</v>
      </c>
      <c r="P20" s="7">
        <f>'Grille de métriques'!L65</f>
        <v>0</v>
      </c>
      <c r="Q20" s="7">
        <f>'Grille de métriques'!M65</f>
        <v>0</v>
      </c>
      <c r="R20" s="7">
        <f>'Grille de métriques'!N65</f>
        <v>0</v>
      </c>
      <c r="S20" s="7">
        <f>'Grille de métriques'!O65</f>
        <v>0</v>
      </c>
      <c r="T20" s="7">
        <f>'Grille de métriques'!P65</f>
        <v>0</v>
      </c>
      <c r="U20" s="7">
        <f>'Grille de métriques'!Q65</f>
        <v>0</v>
      </c>
      <c r="V20" s="7">
        <f>'Grille de métriques'!R65</f>
        <v>0</v>
      </c>
      <c r="W20" s="7">
        <f>'Grille de métriques'!S65</f>
        <v>0</v>
      </c>
      <c r="X20" s="7">
        <f>'Grille de métriques'!T65</f>
        <v>0</v>
      </c>
      <c r="Y20" s="7">
        <f>'Grille de métriques'!U65</f>
        <v>0</v>
      </c>
      <c r="Z20" s="7">
        <f>'Grille de métriques'!V65</f>
        <v>0</v>
      </c>
      <c r="AA20" s="7">
        <f>'Grille de métriques'!W65</f>
        <v>0</v>
      </c>
      <c r="AB20" s="7">
        <f>'Grille de métriques'!X65</f>
        <v>0</v>
      </c>
      <c r="AC20" s="7">
        <f>'Grille de métriques'!Y65</f>
        <v>0</v>
      </c>
      <c r="AD20" s="7">
        <f>'Grille de métriques'!Z65</f>
        <v>0</v>
      </c>
      <c r="AE20" s="7">
        <f>'Grille de métriques'!AA65</f>
        <v>0</v>
      </c>
      <c r="AF20" s="7">
        <f>'Grille de métriques'!AB65</f>
        <v>0</v>
      </c>
      <c r="AG20" s="7">
        <f>'Grille de métriques'!AC65</f>
        <v>0</v>
      </c>
    </row>
    <row r="21" spans="1:33" ht="15.75" customHeight="1" x14ac:dyDescent="0.3">
      <c r="A21" s="7" t="s">
        <v>409</v>
      </c>
      <c r="B21" s="7">
        <f>COUNTIF(Acteurs!B21,1)</f>
        <v>0</v>
      </c>
      <c r="C21" s="7">
        <f>COUNTIF(Acteurs!C21,1)</f>
        <v>0</v>
      </c>
      <c r="D21" s="7">
        <f>COUNTIF(Acteurs!D21,1)</f>
        <v>0</v>
      </c>
      <c r="E21" s="7">
        <f>COUNTIF(Acteurs!E21,1)</f>
        <v>0</v>
      </c>
      <c r="F21" s="7">
        <f>COUNTIF(Acteurs!F21,1)</f>
        <v>0</v>
      </c>
      <c r="G21" s="7">
        <f>'Grille de métriques'!C66</f>
        <v>0</v>
      </c>
      <c r="H21" s="7">
        <f>'Grille de métriques'!D66</f>
        <v>0</v>
      </c>
      <c r="I21" s="7">
        <f>'Grille de métriques'!E66</f>
        <v>0</v>
      </c>
      <c r="J21" s="7">
        <f>'Grille de métriques'!F66</f>
        <v>0</v>
      </c>
      <c r="K21" s="7">
        <f>'Grille de métriques'!G66</f>
        <v>0</v>
      </c>
      <c r="L21" s="7">
        <f>'Grille de métriques'!H66</f>
        <v>0</v>
      </c>
      <c r="M21" s="7">
        <f>'Grille de métriques'!I66</f>
        <v>0</v>
      </c>
      <c r="N21" s="7">
        <f>'Grille de métriques'!J66</f>
        <v>0</v>
      </c>
      <c r="O21" s="7">
        <f>'Grille de métriques'!K66</f>
        <v>0</v>
      </c>
      <c r="P21" s="7">
        <f>'Grille de métriques'!L66</f>
        <v>0</v>
      </c>
      <c r="Q21" s="7">
        <f>'Grille de métriques'!M66</f>
        <v>0</v>
      </c>
      <c r="R21" s="7">
        <f>'Grille de métriques'!N66</f>
        <v>0</v>
      </c>
      <c r="S21" s="7">
        <f>'Grille de métriques'!O66</f>
        <v>0</v>
      </c>
      <c r="T21" s="7">
        <f>'Grille de métriques'!P66</f>
        <v>0</v>
      </c>
      <c r="U21" s="7">
        <f>'Grille de métriques'!Q66</f>
        <v>0</v>
      </c>
      <c r="V21" s="7">
        <f>'Grille de métriques'!R66</f>
        <v>0</v>
      </c>
      <c r="W21" s="7">
        <f>'Grille de métriques'!S66</f>
        <v>0</v>
      </c>
      <c r="X21" s="7">
        <f>'Grille de métriques'!T66</f>
        <v>0</v>
      </c>
      <c r="Y21" s="7">
        <f>'Grille de métriques'!U66</f>
        <v>0</v>
      </c>
      <c r="Z21" s="7">
        <f>'Grille de métriques'!V66</f>
        <v>0</v>
      </c>
      <c r="AA21" s="7">
        <f>'Grille de métriques'!W66</f>
        <v>0</v>
      </c>
      <c r="AB21" s="7">
        <f>'Grille de métriques'!X66</f>
        <v>0</v>
      </c>
      <c r="AC21" s="7">
        <f>'Grille de métriques'!Y66</f>
        <v>0</v>
      </c>
      <c r="AD21" s="7">
        <f>'Grille de métriques'!Z66</f>
        <v>0</v>
      </c>
      <c r="AE21" s="7">
        <f>'Grille de métriques'!AA66</f>
        <v>0</v>
      </c>
      <c r="AF21" s="7">
        <f>'Grille de métriques'!AB66</f>
        <v>0</v>
      </c>
      <c r="AG21" s="7">
        <f>'Grille de métriques'!AC66</f>
        <v>0</v>
      </c>
    </row>
    <row r="22" spans="1:33" ht="15.75" customHeight="1" x14ac:dyDescent="0.3">
      <c r="A22" s="7" t="s">
        <v>410</v>
      </c>
      <c r="B22" s="7">
        <f>COUNTIF(Acteurs!B22,1)</f>
        <v>0</v>
      </c>
      <c r="C22" s="7">
        <f>COUNTIF(Acteurs!C22,1)</f>
        <v>0</v>
      </c>
      <c r="D22" s="7">
        <f>COUNTIF(Acteurs!D22,1)</f>
        <v>0</v>
      </c>
      <c r="E22" s="7">
        <f>COUNTIF(Acteurs!E22,1)</f>
        <v>0</v>
      </c>
      <c r="F22" s="7">
        <f>COUNTIF(Acteurs!F22,1)</f>
        <v>0</v>
      </c>
      <c r="G22" s="7">
        <f>'Grille de métriques'!C67</f>
        <v>0</v>
      </c>
      <c r="H22" s="7">
        <f>'Grille de métriques'!D67</f>
        <v>0</v>
      </c>
      <c r="I22" s="7">
        <f>'Grille de métriques'!E67</f>
        <v>0</v>
      </c>
      <c r="J22" s="7">
        <f>'Grille de métriques'!F67</f>
        <v>0</v>
      </c>
      <c r="K22" s="7">
        <f>'Grille de métriques'!G67</f>
        <v>0</v>
      </c>
      <c r="L22" s="7">
        <f>'Grille de métriques'!H67</f>
        <v>0</v>
      </c>
      <c r="M22" s="7">
        <f>'Grille de métriques'!I67</f>
        <v>0</v>
      </c>
      <c r="N22" s="7">
        <f>'Grille de métriques'!J67</f>
        <v>0</v>
      </c>
      <c r="O22" s="7">
        <f>'Grille de métriques'!K67</f>
        <v>0</v>
      </c>
      <c r="P22" s="7">
        <f>'Grille de métriques'!L67</f>
        <v>0</v>
      </c>
      <c r="Q22" s="7">
        <f>'Grille de métriques'!M67</f>
        <v>0</v>
      </c>
      <c r="R22" s="7">
        <f>'Grille de métriques'!N67</f>
        <v>0</v>
      </c>
      <c r="S22" s="7">
        <f>'Grille de métriques'!O67</f>
        <v>0</v>
      </c>
      <c r="T22" s="7">
        <f>'Grille de métriques'!P67</f>
        <v>0</v>
      </c>
      <c r="U22" s="7">
        <f>'Grille de métriques'!Q67</f>
        <v>0</v>
      </c>
      <c r="V22" s="7">
        <f>'Grille de métriques'!R67</f>
        <v>0</v>
      </c>
      <c r="W22" s="7">
        <f>'Grille de métriques'!S67</f>
        <v>0</v>
      </c>
      <c r="X22" s="7">
        <f>'Grille de métriques'!T67</f>
        <v>0</v>
      </c>
      <c r="Y22" s="7">
        <f>'Grille de métriques'!U67</f>
        <v>0</v>
      </c>
      <c r="Z22" s="7">
        <f>'Grille de métriques'!V67</f>
        <v>0</v>
      </c>
      <c r="AA22" s="7">
        <f>'Grille de métriques'!W67</f>
        <v>0</v>
      </c>
      <c r="AB22" s="7">
        <f>'Grille de métriques'!X67</f>
        <v>0</v>
      </c>
      <c r="AC22" s="7">
        <f>'Grille de métriques'!Y67</f>
        <v>0</v>
      </c>
      <c r="AD22" s="7">
        <f>'Grille de métriques'!Z67</f>
        <v>0</v>
      </c>
      <c r="AE22" s="7">
        <f>'Grille de métriques'!AA67</f>
        <v>0</v>
      </c>
      <c r="AF22" s="7">
        <f>'Grille de métriques'!AB67</f>
        <v>0</v>
      </c>
      <c r="AG22" s="7">
        <f>'Grille de métriques'!AC67</f>
        <v>0</v>
      </c>
    </row>
    <row r="23" spans="1:33" ht="15.75" customHeight="1" x14ac:dyDescent="0.3">
      <c r="A23" s="7" t="s">
        <v>411</v>
      </c>
      <c r="B23" s="7">
        <f>COUNTIF(Acteurs!B23,1)</f>
        <v>0</v>
      </c>
      <c r="C23" s="7">
        <f>COUNTIF(Acteurs!C23,1)</f>
        <v>0</v>
      </c>
      <c r="D23" s="7">
        <f>COUNTIF(Acteurs!D23,1)</f>
        <v>0</v>
      </c>
      <c r="E23" s="7">
        <f>COUNTIF(Acteurs!E23,1)</f>
        <v>0</v>
      </c>
      <c r="F23" s="7">
        <f>COUNTIF(Acteurs!F23,1)</f>
        <v>0</v>
      </c>
      <c r="G23" s="7">
        <f>'Grille de métriques'!C68</f>
        <v>0</v>
      </c>
      <c r="H23" s="7">
        <f>'Grille de métriques'!D68</f>
        <v>0</v>
      </c>
      <c r="I23" s="7">
        <f>'Grille de métriques'!E68</f>
        <v>0</v>
      </c>
      <c r="J23" s="7">
        <f>'Grille de métriques'!F68</f>
        <v>0</v>
      </c>
      <c r="K23" s="7">
        <f>'Grille de métriques'!G68</f>
        <v>0</v>
      </c>
      <c r="L23" s="7">
        <f>'Grille de métriques'!H68</f>
        <v>0</v>
      </c>
      <c r="M23" s="7">
        <f>'Grille de métriques'!I68</f>
        <v>0</v>
      </c>
      <c r="N23" s="7">
        <f>'Grille de métriques'!J68</f>
        <v>0</v>
      </c>
      <c r="O23" s="7">
        <f>'Grille de métriques'!K68</f>
        <v>0</v>
      </c>
      <c r="P23" s="7">
        <f>'Grille de métriques'!L68</f>
        <v>0</v>
      </c>
      <c r="Q23" s="7">
        <f>'Grille de métriques'!M68</f>
        <v>0</v>
      </c>
      <c r="R23" s="7">
        <f>'Grille de métriques'!N68</f>
        <v>0</v>
      </c>
      <c r="S23" s="7">
        <f>'Grille de métriques'!O68</f>
        <v>0</v>
      </c>
      <c r="T23" s="7">
        <f>'Grille de métriques'!P68</f>
        <v>0</v>
      </c>
      <c r="U23" s="7">
        <f>'Grille de métriques'!Q68</f>
        <v>0</v>
      </c>
      <c r="V23" s="7">
        <f>'Grille de métriques'!R68</f>
        <v>0</v>
      </c>
      <c r="W23" s="7">
        <f>'Grille de métriques'!S68</f>
        <v>0</v>
      </c>
      <c r="X23" s="7">
        <f>'Grille de métriques'!T68</f>
        <v>0</v>
      </c>
      <c r="Y23" s="7">
        <f>'Grille de métriques'!U68</f>
        <v>0</v>
      </c>
      <c r="Z23" s="7">
        <f>'Grille de métriques'!V68</f>
        <v>0</v>
      </c>
      <c r="AA23" s="7">
        <f>'Grille de métriques'!W68</f>
        <v>0</v>
      </c>
      <c r="AB23" s="7">
        <f>'Grille de métriques'!X68</f>
        <v>0</v>
      </c>
      <c r="AC23" s="7">
        <f>'Grille de métriques'!Y68</f>
        <v>0</v>
      </c>
      <c r="AD23" s="7">
        <f>'Grille de métriques'!Z68</f>
        <v>0</v>
      </c>
      <c r="AE23" s="7">
        <f>'Grille de métriques'!AA68</f>
        <v>0</v>
      </c>
      <c r="AF23" s="7">
        <f>'Grille de métriques'!AB68</f>
        <v>0</v>
      </c>
      <c r="AG23" s="7">
        <f>'Grille de métriques'!AC68</f>
        <v>0</v>
      </c>
    </row>
    <row r="24" spans="1:33" ht="15.75" customHeight="1" x14ac:dyDescent="0.3">
      <c r="A24" s="7" t="s">
        <v>412</v>
      </c>
      <c r="B24" s="7">
        <f>COUNTIF(Acteurs!B24,1)</f>
        <v>0</v>
      </c>
      <c r="C24" s="7">
        <f>COUNTIF(Acteurs!C24,1)</f>
        <v>0</v>
      </c>
      <c r="D24" s="7">
        <f>COUNTIF(Acteurs!D24,1)</f>
        <v>0</v>
      </c>
      <c r="E24" s="7">
        <f>COUNTIF(Acteurs!E24,1)</f>
        <v>0</v>
      </c>
      <c r="F24" s="7">
        <f>COUNTIF(Acteurs!F24,1)</f>
        <v>0</v>
      </c>
      <c r="G24" s="7">
        <f>'Grille de métriques'!C69</f>
        <v>0</v>
      </c>
      <c r="H24" s="7">
        <f>'Grille de métriques'!D69</f>
        <v>0</v>
      </c>
      <c r="I24" s="7">
        <f>'Grille de métriques'!E69</f>
        <v>0</v>
      </c>
      <c r="J24" s="7">
        <f>'Grille de métriques'!F69</f>
        <v>0</v>
      </c>
      <c r="K24" s="7">
        <f>'Grille de métriques'!G69</f>
        <v>0</v>
      </c>
      <c r="L24" s="7">
        <f>'Grille de métriques'!H69</f>
        <v>0</v>
      </c>
      <c r="M24" s="7">
        <f>'Grille de métriques'!I69</f>
        <v>0</v>
      </c>
      <c r="N24" s="7">
        <f>'Grille de métriques'!J69</f>
        <v>0</v>
      </c>
      <c r="O24" s="7">
        <f>'Grille de métriques'!K69</f>
        <v>0</v>
      </c>
      <c r="P24" s="7">
        <f>'Grille de métriques'!L69</f>
        <v>0</v>
      </c>
      <c r="Q24" s="7">
        <f>'Grille de métriques'!M69</f>
        <v>0</v>
      </c>
      <c r="R24" s="7">
        <f>'Grille de métriques'!N69</f>
        <v>0</v>
      </c>
      <c r="S24" s="7">
        <f>'Grille de métriques'!O69</f>
        <v>0</v>
      </c>
      <c r="T24" s="7">
        <f>'Grille de métriques'!P69</f>
        <v>0</v>
      </c>
      <c r="U24" s="7">
        <f>'Grille de métriques'!Q69</f>
        <v>0</v>
      </c>
      <c r="V24" s="7">
        <f>'Grille de métriques'!R69</f>
        <v>0</v>
      </c>
      <c r="W24" s="7">
        <f>'Grille de métriques'!S69</f>
        <v>0</v>
      </c>
      <c r="X24" s="7">
        <f>'Grille de métriques'!T69</f>
        <v>0</v>
      </c>
      <c r="Y24" s="7">
        <f>'Grille de métriques'!U69</f>
        <v>0</v>
      </c>
      <c r="Z24" s="7">
        <f>'Grille de métriques'!V69</f>
        <v>0</v>
      </c>
      <c r="AA24" s="7">
        <f>'Grille de métriques'!W69</f>
        <v>0</v>
      </c>
      <c r="AB24" s="7">
        <f>'Grille de métriques'!X69</f>
        <v>0</v>
      </c>
      <c r="AC24" s="7">
        <f>'Grille de métriques'!Y69</f>
        <v>0</v>
      </c>
      <c r="AD24" s="7">
        <f>'Grille de métriques'!Z69</f>
        <v>0</v>
      </c>
      <c r="AE24" s="7">
        <f>'Grille de métriques'!AA69</f>
        <v>0</v>
      </c>
      <c r="AF24" s="7">
        <f>'Grille de métriques'!AB69</f>
        <v>0</v>
      </c>
      <c r="AG24" s="7">
        <f>'Grille de métriques'!AC69</f>
        <v>0</v>
      </c>
    </row>
    <row r="25" spans="1:33" ht="15.75" customHeight="1" x14ac:dyDescent="0.3">
      <c r="A25" s="7" t="s">
        <v>413</v>
      </c>
      <c r="B25" s="7">
        <f>COUNTIF(Acteurs!B25,1)</f>
        <v>0</v>
      </c>
      <c r="C25" s="7">
        <f>COUNTIF(Acteurs!C25,1)</f>
        <v>0</v>
      </c>
      <c r="D25" s="7">
        <f>COUNTIF(Acteurs!D25,1)</f>
        <v>0</v>
      </c>
      <c r="E25" s="7">
        <f>COUNTIF(Acteurs!E25,1)</f>
        <v>0</v>
      </c>
      <c r="F25" s="7">
        <f>COUNTIF(Acteurs!F25,1)</f>
        <v>0</v>
      </c>
      <c r="G25" s="7">
        <f>'Grille de métriques'!C70</f>
        <v>0</v>
      </c>
      <c r="H25" s="7">
        <f>'Grille de métriques'!D70</f>
        <v>0</v>
      </c>
      <c r="I25" s="7">
        <f>'Grille de métriques'!E70</f>
        <v>0</v>
      </c>
      <c r="J25" s="7">
        <f>'Grille de métriques'!F70</f>
        <v>0</v>
      </c>
      <c r="K25" s="7">
        <f>'Grille de métriques'!G70</f>
        <v>0</v>
      </c>
      <c r="L25" s="7">
        <f>'Grille de métriques'!H70</f>
        <v>0</v>
      </c>
      <c r="M25" s="7">
        <f>'Grille de métriques'!I70</f>
        <v>0</v>
      </c>
      <c r="N25" s="7">
        <f>'Grille de métriques'!J70</f>
        <v>0</v>
      </c>
      <c r="O25" s="7">
        <f>'Grille de métriques'!K70</f>
        <v>0</v>
      </c>
      <c r="P25" s="7">
        <f>'Grille de métriques'!L70</f>
        <v>0</v>
      </c>
      <c r="Q25" s="7">
        <f>'Grille de métriques'!M70</f>
        <v>0</v>
      </c>
      <c r="R25" s="7">
        <f>'Grille de métriques'!N70</f>
        <v>0</v>
      </c>
      <c r="S25" s="7">
        <f>'Grille de métriques'!O70</f>
        <v>0</v>
      </c>
      <c r="T25" s="7">
        <f>'Grille de métriques'!P70</f>
        <v>0</v>
      </c>
      <c r="U25" s="7">
        <f>'Grille de métriques'!Q70</f>
        <v>0</v>
      </c>
      <c r="V25" s="7">
        <f>'Grille de métriques'!R70</f>
        <v>0</v>
      </c>
      <c r="W25" s="7">
        <f>'Grille de métriques'!S70</f>
        <v>0</v>
      </c>
      <c r="X25" s="7">
        <f>'Grille de métriques'!T70</f>
        <v>0</v>
      </c>
      <c r="Y25" s="7">
        <f>'Grille de métriques'!U70</f>
        <v>0</v>
      </c>
      <c r="Z25" s="7">
        <f>'Grille de métriques'!V70</f>
        <v>0</v>
      </c>
      <c r="AA25" s="7">
        <f>'Grille de métriques'!W70</f>
        <v>0</v>
      </c>
      <c r="AB25" s="7">
        <f>'Grille de métriques'!X70</f>
        <v>0</v>
      </c>
      <c r="AC25" s="7">
        <f>'Grille de métriques'!Y70</f>
        <v>0</v>
      </c>
      <c r="AD25" s="7">
        <f>'Grille de métriques'!Z70</f>
        <v>0</v>
      </c>
      <c r="AE25" s="7">
        <f>'Grille de métriques'!AA70</f>
        <v>0</v>
      </c>
      <c r="AF25" s="7">
        <f>'Grille de métriques'!AB70</f>
        <v>0</v>
      </c>
      <c r="AG25" s="7">
        <f>'Grille de métriques'!AC70</f>
        <v>0</v>
      </c>
    </row>
    <row r="26" spans="1:33" ht="15.75" customHeight="1" x14ac:dyDescent="0.3">
      <c r="A26" s="7" t="s">
        <v>414</v>
      </c>
      <c r="B26" s="7">
        <f>COUNTIF(Acteurs!B26,1)</f>
        <v>0</v>
      </c>
      <c r="C26" s="7">
        <f>COUNTIF(Acteurs!C26,1)</f>
        <v>0</v>
      </c>
      <c r="D26" s="7">
        <f>COUNTIF(Acteurs!D26,1)</f>
        <v>0</v>
      </c>
      <c r="E26" s="7">
        <f>COUNTIF(Acteurs!E26,1)</f>
        <v>0</v>
      </c>
      <c r="F26" s="7">
        <f>COUNTIF(Acteurs!F26,1)</f>
        <v>0</v>
      </c>
      <c r="G26" s="7">
        <f>'Grille de métriques'!C71</f>
        <v>0</v>
      </c>
      <c r="H26" s="7">
        <f>'Grille de métriques'!D71</f>
        <v>0</v>
      </c>
      <c r="I26" s="7">
        <f>'Grille de métriques'!E71</f>
        <v>0</v>
      </c>
      <c r="J26" s="7">
        <f>'Grille de métriques'!F71</f>
        <v>0</v>
      </c>
      <c r="K26" s="7">
        <f>'Grille de métriques'!G71</f>
        <v>0</v>
      </c>
      <c r="L26" s="7">
        <f>'Grille de métriques'!H71</f>
        <v>0</v>
      </c>
      <c r="M26" s="7">
        <f>'Grille de métriques'!I71</f>
        <v>0</v>
      </c>
      <c r="N26" s="7">
        <f>'Grille de métriques'!J71</f>
        <v>0</v>
      </c>
      <c r="O26" s="7">
        <f>'Grille de métriques'!K71</f>
        <v>0</v>
      </c>
      <c r="P26" s="7">
        <f>'Grille de métriques'!L71</f>
        <v>0</v>
      </c>
      <c r="Q26" s="7">
        <f>'Grille de métriques'!M71</f>
        <v>0</v>
      </c>
      <c r="R26" s="7">
        <f>'Grille de métriques'!N71</f>
        <v>0</v>
      </c>
      <c r="S26" s="7">
        <f>'Grille de métriques'!O71</f>
        <v>0</v>
      </c>
      <c r="T26" s="7">
        <f>'Grille de métriques'!P71</f>
        <v>0</v>
      </c>
      <c r="U26" s="7">
        <f>'Grille de métriques'!Q71</f>
        <v>0</v>
      </c>
      <c r="V26" s="7">
        <f>'Grille de métriques'!R71</f>
        <v>0</v>
      </c>
      <c r="W26" s="7">
        <f>'Grille de métriques'!S71</f>
        <v>0</v>
      </c>
      <c r="X26" s="7">
        <f>'Grille de métriques'!T71</f>
        <v>0</v>
      </c>
      <c r="Y26" s="7">
        <f>'Grille de métriques'!U71</f>
        <v>0</v>
      </c>
      <c r="Z26" s="7">
        <f>'Grille de métriques'!V71</f>
        <v>0</v>
      </c>
      <c r="AA26" s="7">
        <f>'Grille de métriques'!W71</f>
        <v>0</v>
      </c>
      <c r="AB26" s="7">
        <f>'Grille de métriques'!X71</f>
        <v>0</v>
      </c>
      <c r="AC26" s="7">
        <f>'Grille de métriques'!Y71</f>
        <v>0</v>
      </c>
      <c r="AD26" s="7">
        <f>'Grille de métriques'!Z71</f>
        <v>0</v>
      </c>
      <c r="AE26" s="7">
        <f>'Grille de métriques'!AA71</f>
        <v>0</v>
      </c>
      <c r="AF26" s="7">
        <f>'Grille de métriques'!AB71</f>
        <v>0</v>
      </c>
      <c r="AG26" s="7">
        <f>'Grille de métriques'!AC71</f>
        <v>0</v>
      </c>
    </row>
    <row r="27" spans="1:33" ht="15.75" customHeight="1" x14ac:dyDescent="0.3">
      <c r="A27" s="7" t="s">
        <v>415</v>
      </c>
      <c r="B27" s="7">
        <f>COUNTIF(Acteurs!B27,1)</f>
        <v>0</v>
      </c>
      <c r="C27" s="7">
        <f>COUNTIF(Acteurs!C27,1)</f>
        <v>0</v>
      </c>
      <c r="D27" s="7">
        <f>COUNTIF(Acteurs!D27,1)</f>
        <v>0</v>
      </c>
      <c r="E27" s="7">
        <f>COUNTIF(Acteurs!E27,1)</f>
        <v>0</v>
      </c>
      <c r="F27" s="7">
        <f>COUNTIF(Acteurs!F27,1)</f>
        <v>0</v>
      </c>
      <c r="G27" s="7">
        <f>'Grille de métriques'!C72</f>
        <v>0</v>
      </c>
      <c r="H27" s="7">
        <f>'Grille de métriques'!D72</f>
        <v>0</v>
      </c>
      <c r="I27" s="7">
        <f>'Grille de métriques'!E72</f>
        <v>0</v>
      </c>
      <c r="J27" s="7">
        <f>'Grille de métriques'!F72</f>
        <v>0</v>
      </c>
      <c r="K27" s="7">
        <f>'Grille de métriques'!G72</f>
        <v>0</v>
      </c>
      <c r="L27" s="7">
        <f>'Grille de métriques'!H72</f>
        <v>0</v>
      </c>
      <c r="M27" s="7">
        <f>'Grille de métriques'!I72</f>
        <v>0</v>
      </c>
      <c r="N27" s="7">
        <f>'Grille de métriques'!J72</f>
        <v>0</v>
      </c>
      <c r="O27" s="7">
        <f>'Grille de métriques'!K72</f>
        <v>0</v>
      </c>
      <c r="P27" s="7">
        <f>'Grille de métriques'!L72</f>
        <v>0</v>
      </c>
      <c r="Q27" s="7">
        <f>'Grille de métriques'!M72</f>
        <v>0</v>
      </c>
      <c r="R27" s="7">
        <f>'Grille de métriques'!N72</f>
        <v>0</v>
      </c>
      <c r="S27" s="7">
        <f>'Grille de métriques'!O72</f>
        <v>0</v>
      </c>
      <c r="T27" s="7">
        <f>'Grille de métriques'!P72</f>
        <v>0</v>
      </c>
      <c r="U27" s="7">
        <f>'Grille de métriques'!Q72</f>
        <v>0</v>
      </c>
      <c r="V27" s="7">
        <f>'Grille de métriques'!R72</f>
        <v>0</v>
      </c>
      <c r="W27" s="7">
        <f>'Grille de métriques'!S72</f>
        <v>0</v>
      </c>
      <c r="X27" s="7">
        <f>'Grille de métriques'!T72</f>
        <v>0</v>
      </c>
      <c r="Y27" s="7">
        <f>'Grille de métriques'!U72</f>
        <v>0</v>
      </c>
      <c r="Z27" s="7">
        <f>'Grille de métriques'!V72</f>
        <v>0</v>
      </c>
      <c r="AA27" s="7">
        <f>'Grille de métriques'!W72</f>
        <v>0</v>
      </c>
      <c r="AB27" s="7">
        <f>'Grille de métriques'!X72</f>
        <v>0</v>
      </c>
      <c r="AC27" s="7">
        <f>'Grille de métriques'!Y72</f>
        <v>0</v>
      </c>
      <c r="AD27" s="7">
        <f>'Grille de métriques'!Z72</f>
        <v>0</v>
      </c>
      <c r="AE27" s="7">
        <f>'Grille de métriques'!AA72</f>
        <v>0</v>
      </c>
      <c r="AF27" s="7">
        <f>'Grille de métriques'!AB72</f>
        <v>0</v>
      </c>
      <c r="AG27" s="7">
        <f>'Grille de métriques'!AC72</f>
        <v>0</v>
      </c>
    </row>
    <row r="28" spans="1:33" ht="15.75" customHeight="1" x14ac:dyDescent="0.3">
      <c r="A28" s="7" t="s">
        <v>416</v>
      </c>
      <c r="B28" s="7">
        <f>COUNTIF(Acteurs!B28,1)</f>
        <v>0</v>
      </c>
      <c r="C28" s="7">
        <f>COUNTIF(Acteurs!C28,1)</f>
        <v>0</v>
      </c>
      <c r="D28" s="7">
        <f>COUNTIF(Acteurs!D28,1)</f>
        <v>0</v>
      </c>
      <c r="E28" s="7">
        <f>COUNTIF(Acteurs!E28,1)</f>
        <v>0</v>
      </c>
      <c r="F28" s="7">
        <f>COUNTIF(Acteurs!F28,1)</f>
        <v>0</v>
      </c>
      <c r="G28" s="7">
        <f>'Grille de métriques'!C73</f>
        <v>0</v>
      </c>
      <c r="H28" s="7">
        <f>'Grille de métriques'!D73</f>
        <v>0</v>
      </c>
      <c r="I28" s="7">
        <f>'Grille de métriques'!E73</f>
        <v>0</v>
      </c>
      <c r="J28" s="7">
        <f>'Grille de métriques'!F73</f>
        <v>0</v>
      </c>
      <c r="K28" s="7">
        <f>'Grille de métriques'!G73</f>
        <v>0</v>
      </c>
      <c r="L28" s="7">
        <f>'Grille de métriques'!H73</f>
        <v>0</v>
      </c>
      <c r="M28" s="7">
        <f>'Grille de métriques'!I73</f>
        <v>0</v>
      </c>
      <c r="N28" s="7">
        <f>'Grille de métriques'!J73</f>
        <v>0</v>
      </c>
      <c r="O28" s="7">
        <f>'Grille de métriques'!K73</f>
        <v>0</v>
      </c>
      <c r="P28" s="7">
        <f>'Grille de métriques'!L73</f>
        <v>0</v>
      </c>
      <c r="Q28" s="7">
        <f>'Grille de métriques'!M73</f>
        <v>0</v>
      </c>
      <c r="R28" s="7">
        <f>'Grille de métriques'!N73</f>
        <v>0</v>
      </c>
      <c r="S28" s="7">
        <f>'Grille de métriques'!O73</f>
        <v>0</v>
      </c>
      <c r="T28" s="7">
        <f>'Grille de métriques'!P73</f>
        <v>0</v>
      </c>
      <c r="U28" s="7">
        <f>'Grille de métriques'!Q73</f>
        <v>0</v>
      </c>
      <c r="V28" s="7">
        <f>'Grille de métriques'!R73</f>
        <v>0</v>
      </c>
      <c r="W28" s="7">
        <f>'Grille de métriques'!S73</f>
        <v>0</v>
      </c>
      <c r="X28" s="7">
        <f>'Grille de métriques'!T73</f>
        <v>0</v>
      </c>
      <c r="Y28" s="7">
        <f>'Grille de métriques'!U73</f>
        <v>0</v>
      </c>
      <c r="Z28" s="7">
        <f>'Grille de métriques'!V73</f>
        <v>0</v>
      </c>
      <c r="AA28" s="7">
        <f>'Grille de métriques'!W73</f>
        <v>0</v>
      </c>
      <c r="AB28" s="7">
        <f>'Grille de métriques'!X73</f>
        <v>0</v>
      </c>
      <c r="AC28" s="7">
        <f>'Grille de métriques'!Y73</f>
        <v>0</v>
      </c>
      <c r="AD28" s="7">
        <f>'Grille de métriques'!Z73</f>
        <v>0</v>
      </c>
      <c r="AE28" s="7">
        <f>'Grille de métriques'!AA73</f>
        <v>0</v>
      </c>
      <c r="AF28" s="7">
        <f>'Grille de métriques'!AB73</f>
        <v>0</v>
      </c>
      <c r="AG28" s="7">
        <f>'Grille de métriques'!AC73</f>
        <v>0</v>
      </c>
    </row>
    <row r="29" spans="1:33" ht="15.75" customHeight="1" x14ac:dyDescent="0.3">
      <c r="A29" s="7" t="s">
        <v>417</v>
      </c>
      <c r="B29" s="7">
        <f>COUNTIF(Acteurs!B29,1)</f>
        <v>0</v>
      </c>
      <c r="C29" s="7">
        <f>COUNTIF(Acteurs!C29,1)</f>
        <v>0</v>
      </c>
      <c r="D29" s="7">
        <f>COUNTIF(Acteurs!D29,1)</f>
        <v>0</v>
      </c>
      <c r="E29" s="7">
        <f>COUNTIF(Acteurs!E29,1)</f>
        <v>0</v>
      </c>
      <c r="F29" s="7">
        <f>COUNTIF(Acteurs!F29,1)</f>
        <v>0</v>
      </c>
      <c r="G29" s="7">
        <f>'Grille de métriques'!C74</f>
        <v>0</v>
      </c>
      <c r="H29" s="7">
        <f>'Grille de métriques'!D74</f>
        <v>0</v>
      </c>
      <c r="I29" s="7">
        <f>'Grille de métriques'!E74</f>
        <v>0</v>
      </c>
      <c r="J29" s="7">
        <f>'Grille de métriques'!F74</f>
        <v>0</v>
      </c>
      <c r="K29" s="7">
        <f>'Grille de métriques'!G74</f>
        <v>0</v>
      </c>
      <c r="L29" s="7">
        <f>'Grille de métriques'!H74</f>
        <v>0</v>
      </c>
      <c r="M29" s="7">
        <f>'Grille de métriques'!I74</f>
        <v>0</v>
      </c>
      <c r="N29" s="7">
        <f>'Grille de métriques'!J74</f>
        <v>0</v>
      </c>
      <c r="O29" s="7">
        <f>'Grille de métriques'!K74</f>
        <v>0</v>
      </c>
      <c r="P29" s="7">
        <f>'Grille de métriques'!L74</f>
        <v>0</v>
      </c>
      <c r="Q29" s="7">
        <f>'Grille de métriques'!M74</f>
        <v>0</v>
      </c>
      <c r="R29" s="7">
        <f>'Grille de métriques'!N74</f>
        <v>0</v>
      </c>
      <c r="S29" s="7">
        <f>'Grille de métriques'!O74</f>
        <v>0</v>
      </c>
      <c r="T29" s="7">
        <f>'Grille de métriques'!P74</f>
        <v>0</v>
      </c>
      <c r="U29" s="7">
        <f>'Grille de métriques'!Q74</f>
        <v>0</v>
      </c>
      <c r="V29" s="7">
        <f>'Grille de métriques'!R74</f>
        <v>0</v>
      </c>
      <c r="W29" s="7">
        <f>'Grille de métriques'!S74</f>
        <v>0</v>
      </c>
      <c r="X29" s="7">
        <f>'Grille de métriques'!T74</f>
        <v>0</v>
      </c>
      <c r="Y29" s="7">
        <f>'Grille de métriques'!U74</f>
        <v>0</v>
      </c>
      <c r="Z29" s="7">
        <f>'Grille de métriques'!V74</f>
        <v>0</v>
      </c>
      <c r="AA29" s="7">
        <f>'Grille de métriques'!W74</f>
        <v>0</v>
      </c>
      <c r="AB29" s="7">
        <f>'Grille de métriques'!X74</f>
        <v>0</v>
      </c>
      <c r="AC29" s="7">
        <f>'Grille de métriques'!Y74</f>
        <v>0</v>
      </c>
      <c r="AD29" s="7">
        <f>'Grille de métriques'!Z74</f>
        <v>0</v>
      </c>
      <c r="AE29" s="7">
        <f>'Grille de métriques'!AA74</f>
        <v>0</v>
      </c>
      <c r="AF29" s="7">
        <f>'Grille de métriques'!AB74</f>
        <v>0</v>
      </c>
      <c r="AG29" s="7">
        <f>'Grille de métriques'!AC74</f>
        <v>0</v>
      </c>
    </row>
    <row r="30" spans="1:33" ht="15.75" customHeight="1" x14ac:dyDescent="0.3">
      <c r="A30" s="7" t="s">
        <v>418</v>
      </c>
      <c r="B30" s="7">
        <f>COUNTIF(Acteurs!B30,1)</f>
        <v>0</v>
      </c>
      <c r="C30" s="7">
        <f>COUNTIF(Acteurs!C30,1)</f>
        <v>0</v>
      </c>
      <c r="D30" s="7">
        <f>COUNTIF(Acteurs!D30,1)</f>
        <v>0</v>
      </c>
      <c r="E30" s="7">
        <f>COUNTIF(Acteurs!E30,1)</f>
        <v>0</v>
      </c>
      <c r="F30" s="7">
        <f>COUNTIF(Acteurs!F30,1)</f>
        <v>0</v>
      </c>
      <c r="G30" s="7">
        <f>'Grille de métriques'!C75</f>
        <v>0</v>
      </c>
      <c r="H30" s="7">
        <f>'Grille de métriques'!D75</f>
        <v>0</v>
      </c>
      <c r="I30" s="7">
        <f>'Grille de métriques'!E75</f>
        <v>0</v>
      </c>
      <c r="J30" s="7">
        <f>'Grille de métriques'!F75</f>
        <v>0</v>
      </c>
      <c r="K30" s="7">
        <f>'Grille de métriques'!G75</f>
        <v>0</v>
      </c>
      <c r="L30" s="7">
        <f>'Grille de métriques'!H75</f>
        <v>0</v>
      </c>
      <c r="M30" s="7">
        <f>'Grille de métriques'!I75</f>
        <v>0</v>
      </c>
      <c r="N30" s="7">
        <f>'Grille de métriques'!J75</f>
        <v>0</v>
      </c>
      <c r="O30" s="7">
        <f>'Grille de métriques'!K75</f>
        <v>0</v>
      </c>
      <c r="P30" s="7">
        <f>'Grille de métriques'!L75</f>
        <v>0</v>
      </c>
      <c r="Q30" s="7">
        <f>'Grille de métriques'!M75</f>
        <v>0</v>
      </c>
      <c r="R30" s="7">
        <f>'Grille de métriques'!N75</f>
        <v>0</v>
      </c>
      <c r="S30" s="7">
        <f>'Grille de métriques'!O75</f>
        <v>0</v>
      </c>
      <c r="T30" s="7">
        <f>'Grille de métriques'!P75</f>
        <v>0</v>
      </c>
      <c r="U30" s="7">
        <f>'Grille de métriques'!Q75</f>
        <v>0</v>
      </c>
      <c r="V30" s="7">
        <f>'Grille de métriques'!R75</f>
        <v>0</v>
      </c>
      <c r="W30" s="7">
        <f>'Grille de métriques'!S75</f>
        <v>0</v>
      </c>
      <c r="X30" s="7">
        <f>'Grille de métriques'!T75</f>
        <v>0</v>
      </c>
      <c r="Y30" s="7">
        <f>'Grille de métriques'!U75</f>
        <v>0</v>
      </c>
      <c r="Z30" s="7">
        <f>'Grille de métriques'!V75</f>
        <v>0</v>
      </c>
      <c r="AA30" s="7">
        <f>'Grille de métriques'!W75</f>
        <v>0</v>
      </c>
      <c r="AB30" s="7">
        <f>'Grille de métriques'!X75</f>
        <v>0</v>
      </c>
      <c r="AC30" s="7">
        <f>'Grille de métriques'!Y75</f>
        <v>0</v>
      </c>
      <c r="AD30" s="7">
        <f>'Grille de métriques'!Z75</f>
        <v>0</v>
      </c>
      <c r="AE30" s="7">
        <f>'Grille de métriques'!AA75</f>
        <v>0</v>
      </c>
      <c r="AF30" s="7">
        <f>'Grille de métriques'!AB75</f>
        <v>0</v>
      </c>
      <c r="AG30" s="7">
        <f>'Grille de métriques'!AC75</f>
        <v>0</v>
      </c>
    </row>
    <row r="31" spans="1:33" ht="15.75" customHeight="1" x14ac:dyDescent="0.3">
      <c r="A31" s="7" t="s">
        <v>419</v>
      </c>
      <c r="B31" s="7">
        <f>COUNTIF(Acteurs!B31,1)</f>
        <v>0</v>
      </c>
      <c r="C31" s="7">
        <f>COUNTIF(Acteurs!C31,1)</f>
        <v>0</v>
      </c>
      <c r="D31" s="7">
        <f>COUNTIF(Acteurs!D31,1)</f>
        <v>0</v>
      </c>
      <c r="E31" s="7">
        <f>COUNTIF(Acteurs!E31,1)</f>
        <v>0</v>
      </c>
      <c r="F31" s="7">
        <f>COUNTIF(Acteurs!F31,1)</f>
        <v>0</v>
      </c>
      <c r="G31" s="7">
        <f>'Grille de métriques'!C76</f>
        <v>0</v>
      </c>
      <c r="H31" s="7">
        <f>'Grille de métriques'!D76</f>
        <v>0</v>
      </c>
      <c r="I31" s="7">
        <f>'Grille de métriques'!E76</f>
        <v>0</v>
      </c>
      <c r="J31" s="7">
        <f>'Grille de métriques'!F76</f>
        <v>0</v>
      </c>
      <c r="K31" s="7">
        <f>'Grille de métriques'!G76</f>
        <v>0</v>
      </c>
      <c r="L31" s="7">
        <f>'Grille de métriques'!H76</f>
        <v>0</v>
      </c>
      <c r="M31" s="7">
        <f>'Grille de métriques'!I76</f>
        <v>0</v>
      </c>
      <c r="N31" s="7">
        <f>'Grille de métriques'!J76</f>
        <v>0</v>
      </c>
      <c r="O31" s="7">
        <f>'Grille de métriques'!K76</f>
        <v>0</v>
      </c>
      <c r="P31" s="7">
        <f>'Grille de métriques'!L76</f>
        <v>0</v>
      </c>
      <c r="Q31" s="7">
        <f>'Grille de métriques'!M76</f>
        <v>0</v>
      </c>
      <c r="R31" s="7">
        <f>'Grille de métriques'!N76</f>
        <v>0</v>
      </c>
      <c r="S31" s="7">
        <f>'Grille de métriques'!O76</f>
        <v>0</v>
      </c>
      <c r="T31" s="7">
        <f>'Grille de métriques'!P76</f>
        <v>0</v>
      </c>
      <c r="U31" s="7">
        <f>'Grille de métriques'!Q76</f>
        <v>0</v>
      </c>
      <c r="V31" s="7">
        <f>'Grille de métriques'!R76</f>
        <v>0</v>
      </c>
      <c r="W31" s="7">
        <f>'Grille de métriques'!S76</f>
        <v>0</v>
      </c>
      <c r="X31" s="7">
        <f>'Grille de métriques'!T76</f>
        <v>0</v>
      </c>
      <c r="Y31" s="7">
        <f>'Grille de métriques'!U76</f>
        <v>0</v>
      </c>
      <c r="Z31" s="7">
        <f>'Grille de métriques'!V76</f>
        <v>0</v>
      </c>
      <c r="AA31" s="7">
        <f>'Grille de métriques'!W76</f>
        <v>0</v>
      </c>
      <c r="AB31" s="7">
        <f>'Grille de métriques'!X76</f>
        <v>0</v>
      </c>
      <c r="AC31" s="7">
        <f>'Grille de métriques'!Y76</f>
        <v>0</v>
      </c>
      <c r="AD31" s="7">
        <f>'Grille de métriques'!Z76</f>
        <v>0</v>
      </c>
      <c r="AE31" s="7">
        <f>'Grille de métriques'!AA76</f>
        <v>0</v>
      </c>
      <c r="AF31" s="7">
        <f>'Grille de métriques'!AB76</f>
        <v>0</v>
      </c>
      <c r="AG31" s="7">
        <f>'Grille de métriques'!AC76</f>
        <v>0</v>
      </c>
    </row>
    <row r="32" spans="1:33" ht="15.75" customHeight="1" x14ac:dyDescent="0.3">
      <c r="A32" s="7" t="s">
        <v>420</v>
      </c>
      <c r="B32" s="7">
        <f>COUNTIF(Acteurs!B32,1)</f>
        <v>0</v>
      </c>
      <c r="C32" s="7">
        <f>COUNTIF(Acteurs!C32,1)</f>
        <v>0</v>
      </c>
      <c r="D32" s="7">
        <f>COUNTIF(Acteurs!D32,1)</f>
        <v>0</v>
      </c>
      <c r="E32" s="7">
        <f>COUNTIF(Acteurs!E32,1)</f>
        <v>0</v>
      </c>
      <c r="F32" s="7">
        <f>COUNTIF(Acteurs!F32,1)</f>
        <v>0</v>
      </c>
      <c r="G32" s="7">
        <f>'Grille de métriques'!C77</f>
        <v>0</v>
      </c>
      <c r="H32" s="7">
        <f>'Grille de métriques'!D77</f>
        <v>0</v>
      </c>
      <c r="I32" s="7">
        <f>'Grille de métriques'!E77</f>
        <v>0</v>
      </c>
      <c r="J32" s="7">
        <f>'Grille de métriques'!F77</f>
        <v>0</v>
      </c>
      <c r="K32" s="7">
        <f>'Grille de métriques'!G77</f>
        <v>0</v>
      </c>
      <c r="L32" s="7">
        <f>'Grille de métriques'!H77</f>
        <v>0</v>
      </c>
      <c r="M32" s="7">
        <f>'Grille de métriques'!I77</f>
        <v>0</v>
      </c>
      <c r="N32" s="7">
        <f>'Grille de métriques'!J77</f>
        <v>0</v>
      </c>
      <c r="O32" s="7">
        <f>'Grille de métriques'!K77</f>
        <v>0</v>
      </c>
      <c r="P32" s="7">
        <f>'Grille de métriques'!L77</f>
        <v>0</v>
      </c>
      <c r="Q32" s="7">
        <f>'Grille de métriques'!M77</f>
        <v>0</v>
      </c>
      <c r="R32" s="7">
        <f>'Grille de métriques'!N77</f>
        <v>0</v>
      </c>
      <c r="S32" s="7">
        <f>'Grille de métriques'!O77</f>
        <v>0</v>
      </c>
      <c r="T32" s="7">
        <f>'Grille de métriques'!P77</f>
        <v>0</v>
      </c>
      <c r="U32" s="7">
        <f>'Grille de métriques'!Q77</f>
        <v>0</v>
      </c>
      <c r="V32" s="7">
        <f>'Grille de métriques'!R77</f>
        <v>0</v>
      </c>
      <c r="W32" s="7">
        <f>'Grille de métriques'!S77</f>
        <v>0</v>
      </c>
      <c r="X32" s="7">
        <f>'Grille de métriques'!T77</f>
        <v>0</v>
      </c>
      <c r="Y32" s="7">
        <f>'Grille de métriques'!U77</f>
        <v>0</v>
      </c>
      <c r="Z32" s="7">
        <f>'Grille de métriques'!V77</f>
        <v>0</v>
      </c>
      <c r="AA32" s="7">
        <f>'Grille de métriques'!W77</f>
        <v>0</v>
      </c>
      <c r="AB32" s="7">
        <f>'Grille de métriques'!X77</f>
        <v>0</v>
      </c>
      <c r="AC32" s="7">
        <f>'Grille de métriques'!Y77</f>
        <v>0</v>
      </c>
      <c r="AD32" s="7">
        <f>'Grille de métriques'!Z77</f>
        <v>0</v>
      </c>
      <c r="AE32" s="7">
        <f>'Grille de métriques'!AA77</f>
        <v>0</v>
      </c>
      <c r="AF32" s="7">
        <f>'Grille de métriques'!AB77</f>
        <v>0</v>
      </c>
      <c r="AG32" s="7">
        <f>'Grille de métriques'!AC77</f>
        <v>0</v>
      </c>
    </row>
    <row r="33" spans="1:33" ht="15.75" customHeight="1" x14ac:dyDescent="0.3">
      <c r="A33" s="7" t="s">
        <v>421</v>
      </c>
      <c r="B33" s="7">
        <f>COUNTIF(Acteurs!B33,1)</f>
        <v>0</v>
      </c>
      <c r="C33" s="7">
        <f>COUNTIF(Acteurs!C33,1)</f>
        <v>0</v>
      </c>
      <c r="D33" s="7">
        <f>COUNTIF(Acteurs!D33,1)</f>
        <v>0</v>
      </c>
      <c r="E33" s="7">
        <f>COUNTIF(Acteurs!E33,1)</f>
        <v>0</v>
      </c>
      <c r="F33" s="7">
        <f>COUNTIF(Acteurs!F33,1)</f>
        <v>0</v>
      </c>
      <c r="G33" s="7">
        <f>'Grille de métriques'!C78</f>
        <v>0</v>
      </c>
      <c r="H33" s="7">
        <f>'Grille de métriques'!D78</f>
        <v>0</v>
      </c>
      <c r="I33" s="7">
        <f>'Grille de métriques'!E78</f>
        <v>0</v>
      </c>
      <c r="J33" s="7">
        <f>'Grille de métriques'!F78</f>
        <v>0</v>
      </c>
      <c r="K33" s="7">
        <f>'Grille de métriques'!G78</f>
        <v>0</v>
      </c>
      <c r="L33" s="7">
        <f>'Grille de métriques'!H78</f>
        <v>0</v>
      </c>
      <c r="M33" s="7">
        <f>'Grille de métriques'!I78</f>
        <v>0</v>
      </c>
      <c r="N33" s="7">
        <f>'Grille de métriques'!J78</f>
        <v>0</v>
      </c>
      <c r="O33" s="7">
        <f>'Grille de métriques'!K78</f>
        <v>0</v>
      </c>
      <c r="P33" s="7">
        <f>'Grille de métriques'!L78</f>
        <v>0</v>
      </c>
      <c r="Q33" s="7">
        <f>'Grille de métriques'!M78</f>
        <v>0</v>
      </c>
      <c r="R33" s="7">
        <f>'Grille de métriques'!N78</f>
        <v>0</v>
      </c>
      <c r="S33" s="7">
        <f>'Grille de métriques'!O78</f>
        <v>0</v>
      </c>
      <c r="T33" s="7">
        <f>'Grille de métriques'!P78</f>
        <v>0</v>
      </c>
      <c r="U33" s="7">
        <f>'Grille de métriques'!Q78</f>
        <v>0</v>
      </c>
      <c r="V33" s="7">
        <f>'Grille de métriques'!R78</f>
        <v>0</v>
      </c>
      <c r="W33" s="7">
        <f>'Grille de métriques'!S78</f>
        <v>0</v>
      </c>
      <c r="X33" s="7">
        <f>'Grille de métriques'!T78</f>
        <v>0</v>
      </c>
      <c r="Y33" s="7">
        <f>'Grille de métriques'!U78</f>
        <v>0</v>
      </c>
      <c r="Z33" s="7">
        <f>'Grille de métriques'!V78</f>
        <v>0</v>
      </c>
      <c r="AA33" s="7">
        <f>'Grille de métriques'!W78</f>
        <v>0</v>
      </c>
      <c r="AB33" s="7">
        <f>'Grille de métriques'!X78</f>
        <v>0</v>
      </c>
      <c r="AC33" s="7">
        <f>'Grille de métriques'!Y78</f>
        <v>0</v>
      </c>
      <c r="AD33" s="7">
        <f>'Grille de métriques'!Z78</f>
        <v>0</v>
      </c>
      <c r="AE33" s="7">
        <f>'Grille de métriques'!AA78</f>
        <v>0</v>
      </c>
      <c r="AF33" s="7">
        <f>'Grille de métriques'!AB78</f>
        <v>0</v>
      </c>
      <c r="AG33" s="7">
        <f>'Grille de métriques'!AC78</f>
        <v>0</v>
      </c>
    </row>
    <row r="34" spans="1:33" ht="15.75" customHeight="1" x14ac:dyDescent="0.3">
      <c r="A34" s="7" t="s">
        <v>422</v>
      </c>
      <c r="B34" s="7">
        <f>COUNTIF(Acteurs!B34,1)</f>
        <v>0</v>
      </c>
      <c r="C34" s="7">
        <f>COUNTIF(Acteurs!C34,1)</f>
        <v>0</v>
      </c>
      <c r="D34" s="7">
        <f>COUNTIF(Acteurs!D34,1)</f>
        <v>0</v>
      </c>
      <c r="E34" s="7">
        <f>COUNTIF(Acteurs!E34,1)</f>
        <v>0</v>
      </c>
      <c r="F34" s="7">
        <f>COUNTIF(Acteurs!F34,1)</f>
        <v>0</v>
      </c>
      <c r="G34" s="7">
        <f>'Grille de métriques'!C79</f>
        <v>0</v>
      </c>
      <c r="H34" s="7">
        <f>'Grille de métriques'!D79</f>
        <v>0</v>
      </c>
      <c r="I34" s="7">
        <f>'Grille de métriques'!E79</f>
        <v>0</v>
      </c>
      <c r="J34" s="7">
        <f>'Grille de métriques'!F79</f>
        <v>0</v>
      </c>
      <c r="K34" s="7">
        <f>'Grille de métriques'!G79</f>
        <v>0</v>
      </c>
      <c r="L34" s="7">
        <f>'Grille de métriques'!H79</f>
        <v>0</v>
      </c>
      <c r="M34" s="7">
        <f>'Grille de métriques'!I79</f>
        <v>0</v>
      </c>
      <c r="N34" s="7">
        <f>'Grille de métriques'!J79</f>
        <v>0</v>
      </c>
      <c r="O34" s="7">
        <f>'Grille de métriques'!K79</f>
        <v>0</v>
      </c>
      <c r="P34" s="7">
        <f>'Grille de métriques'!L79</f>
        <v>0</v>
      </c>
      <c r="Q34" s="7">
        <f>'Grille de métriques'!M79</f>
        <v>0</v>
      </c>
      <c r="R34" s="7">
        <f>'Grille de métriques'!N79</f>
        <v>0</v>
      </c>
      <c r="S34" s="7">
        <f>'Grille de métriques'!O79</f>
        <v>0</v>
      </c>
      <c r="T34" s="7">
        <f>'Grille de métriques'!P79</f>
        <v>0</v>
      </c>
      <c r="U34" s="7">
        <f>'Grille de métriques'!Q79</f>
        <v>0</v>
      </c>
      <c r="V34" s="7">
        <f>'Grille de métriques'!R79</f>
        <v>0</v>
      </c>
      <c r="W34" s="7">
        <f>'Grille de métriques'!S79</f>
        <v>0</v>
      </c>
      <c r="X34" s="7">
        <f>'Grille de métriques'!T79</f>
        <v>0</v>
      </c>
      <c r="Y34" s="7">
        <f>'Grille de métriques'!U79</f>
        <v>0</v>
      </c>
      <c r="Z34" s="7">
        <f>'Grille de métriques'!V79</f>
        <v>0</v>
      </c>
      <c r="AA34" s="7">
        <f>'Grille de métriques'!W79</f>
        <v>0</v>
      </c>
      <c r="AB34" s="7">
        <f>'Grille de métriques'!X79</f>
        <v>0</v>
      </c>
      <c r="AC34" s="7">
        <f>'Grille de métriques'!Y79</f>
        <v>0</v>
      </c>
      <c r="AD34" s="7">
        <f>'Grille de métriques'!Z79</f>
        <v>0</v>
      </c>
      <c r="AE34" s="7">
        <f>'Grille de métriques'!AA79</f>
        <v>0</v>
      </c>
      <c r="AF34" s="7">
        <f>'Grille de métriques'!AB79</f>
        <v>0</v>
      </c>
      <c r="AG34" s="7">
        <f>'Grille de métriques'!AC79</f>
        <v>0</v>
      </c>
    </row>
    <row r="35" spans="1:33" ht="15.75" customHeight="1" x14ac:dyDescent="0.3">
      <c r="A35" s="7" t="s">
        <v>423</v>
      </c>
      <c r="B35" s="7">
        <f>COUNTIF(Acteurs!B35,1)</f>
        <v>0</v>
      </c>
      <c r="C35" s="7">
        <f>COUNTIF(Acteurs!C35,1)</f>
        <v>0</v>
      </c>
      <c r="D35" s="7">
        <f>COUNTIF(Acteurs!D35,1)</f>
        <v>0</v>
      </c>
      <c r="E35" s="7">
        <f>COUNTIF(Acteurs!E35,1)</f>
        <v>0</v>
      </c>
      <c r="F35" s="7">
        <f>COUNTIF(Acteurs!F35,1)</f>
        <v>0</v>
      </c>
      <c r="G35" s="7">
        <f>'Grille de métriques'!C80</f>
        <v>0</v>
      </c>
      <c r="H35" s="7">
        <f>'Grille de métriques'!D80</f>
        <v>0</v>
      </c>
      <c r="I35" s="7">
        <f>'Grille de métriques'!E80</f>
        <v>0</v>
      </c>
      <c r="J35" s="7">
        <f>'Grille de métriques'!F80</f>
        <v>0</v>
      </c>
      <c r="K35" s="7">
        <f>'Grille de métriques'!G80</f>
        <v>0</v>
      </c>
      <c r="L35" s="7">
        <f>'Grille de métriques'!H80</f>
        <v>0</v>
      </c>
      <c r="M35" s="7">
        <f>'Grille de métriques'!I80</f>
        <v>0</v>
      </c>
      <c r="N35" s="7">
        <f>'Grille de métriques'!J80</f>
        <v>0</v>
      </c>
      <c r="O35" s="7">
        <f>'Grille de métriques'!K80</f>
        <v>0</v>
      </c>
      <c r="P35" s="7">
        <f>'Grille de métriques'!L80</f>
        <v>0</v>
      </c>
      <c r="Q35" s="7">
        <f>'Grille de métriques'!M80</f>
        <v>0</v>
      </c>
      <c r="R35" s="7">
        <f>'Grille de métriques'!N80</f>
        <v>0</v>
      </c>
      <c r="S35" s="7">
        <f>'Grille de métriques'!O80</f>
        <v>0</v>
      </c>
      <c r="T35" s="7">
        <f>'Grille de métriques'!P80</f>
        <v>0</v>
      </c>
      <c r="U35" s="7">
        <f>'Grille de métriques'!Q80</f>
        <v>0</v>
      </c>
      <c r="V35" s="7">
        <f>'Grille de métriques'!R80</f>
        <v>0</v>
      </c>
      <c r="W35" s="7">
        <f>'Grille de métriques'!S80</f>
        <v>0</v>
      </c>
      <c r="X35" s="7">
        <f>'Grille de métriques'!T80</f>
        <v>0</v>
      </c>
      <c r="Y35" s="7">
        <f>'Grille de métriques'!U80</f>
        <v>0</v>
      </c>
      <c r="Z35" s="7">
        <f>'Grille de métriques'!V80</f>
        <v>0</v>
      </c>
      <c r="AA35" s="7">
        <f>'Grille de métriques'!W80</f>
        <v>0</v>
      </c>
      <c r="AB35" s="7">
        <f>'Grille de métriques'!X80</f>
        <v>0</v>
      </c>
      <c r="AC35" s="7">
        <f>'Grille de métriques'!Y80</f>
        <v>0</v>
      </c>
      <c r="AD35" s="7">
        <f>'Grille de métriques'!Z80</f>
        <v>0</v>
      </c>
      <c r="AE35" s="7">
        <f>'Grille de métriques'!AA80</f>
        <v>0</v>
      </c>
      <c r="AF35" s="7">
        <f>'Grille de métriques'!AB80</f>
        <v>0</v>
      </c>
      <c r="AG35" s="7">
        <f>'Grille de métriques'!AC80</f>
        <v>0</v>
      </c>
    </row>
    <row r="36" spans="1:33" ht="15.75" customHeight="1" x14ac:dyDescent="0.3">
      <c r="A36" s="7" t="s">
        <v>424</v>
      </c>
      <c r="B36" s="7">
        <f>COUNTIF(Acteurs!B36,1)</f>
        <v>0</v>
      </c>
      <c r="C36" s="7">
        <f>COUNTIF(Acteurs!C36,1)</f>
        <v>0</v>
      </c>
      <c r="D36" s="7">
        <f>COUNTIF(Acteurs!D36,1)</f>
        <v>0</v>
      </c>
      <c r="E36" s="7">
        <f>COUNTIF(Acteurs!E36,1)</f>
        <v>0</v>
      </c>
      <c r="F36" s="7">
        <f>COUNTIF(Acteurs!F36,1)</f>
        <v>0</v>
      </c>
      <c r="G36" s="7">
        <f>'Grille de métriques'!C81</f>
        <v>0</v>
      </c>
      <c r="H36" s="7">
        <f>'Grille de métriques'!D81</f>
        <v>0</v>
      </c>
      <c r="I36" s="7">
        <f>'Grille de métriques'!E81</f>
        <v>0</v>
      </c>
      <c r="J36" s="7">
        <f>'Grille de métriques'!F81</f>
        <v>0</v>
      </c>
      <c r="K36" s="7">
        <f>'Grille de métriques'!G81</f>
        <v>0</v>
      </c>
      <c r="L36" s="7">
        <f>'Grille de métriques'!H81</f>
        <v>0</v>
      </c>
      <c r="M36" s="7">
        <f>'Grille de métriques'!I81</f>
        <v>0</v>
      </c>
      <c r="N36" s="7">
        <f>'Grille de métriques'!J81</f>
        <v>0</v>
      </c>
      <c r="O36" s="7">
        <f>'Grille de métriques'!K81</f>
        <v>0</v>
      </c>
      <c r="P36" s="7">
        <f>'Grille de métriques'!L81</f>
        <v>0</v>
      </c>
      <c r="Q36" s="7">
        <f>'Grille de métriques'!M81</f>
        <v>0</v>
      </c>
      <c r="R36" s="7">
        <f>'Grille de métriques'!N81</f>
        <v>0</v>
      </c>
      <c r="S36" s="7">
        <f>'Grille de métriques'!O81</f>
        <v>0</v>
      </c>
      <c r="T36" s="7">
        <f>'Grille de métriques'!P81</f>
        <v>0</v>
      </c>
      <c r="U36" s="7">
        <f>'Grille de métriques'!Q81</f>
        <v>0</v>
      </c>
      <c r="V36" s="7">
        <f>'Grille de métriques'!R81</f>
        <v>0</v>
      </c>
      <c r="W36" s="7">
        <f>'Grille de métriques'!S81</f>
        <v>0</v>
      </c>
      <c r="X36" s="7">
        <f>'Grille de métriques'!T81</f>
        <v>0</v>
      </c>
      <c r="Y36" s="7">
        <f>'Grille de métriques'!U81</f>
        <v>0</v>
      </c>
      <c r="Z36" s="7">
        <f>'Grille de métriques'!V81</f>
        <v>0</v>
      </c>
      <c r="AA36" s="7">
        <f>'Grille de métriques'!W81</f>
        <v>0</v>
      </c>
      <c r="AB36" s="7">
        <f>'Grille de métriques'!X81</f>
        <v>0</v>
      </c>
      <c r="AC36" s="7">
        <f>'Grille de métriques'!Y81</f>
        <v>0</v>
      </c>
      <c r="AD36" s="7">
        <f>'Grille de métriques'!Z81</f>
        <v>0</v>
      </c>
      <c r="AE36" s="7">
        <f>'Grille de métriques'!AA81</f>
        <v>0</v>
      </c>
      <c r="AF36" s="7">
        <f>'Grille de métriques'!AB81</f>
        <v>0</v>
      </c>
      <c r="AG36" s="7">
        <f>'Grille de métriques'!AC81</f>
        <v>0</v>
      </c>
    </row>
    <row r="37" spans="1:33" ht="15.75" customHeight="1" x14ac:dyDescent="0.3">
      <c r="A37" s="7" t="s">
        <v>425</v>
      </c>
      <c r="B37" s="7">
        <f>COUNTIF(Acteurs!B37,1)</f>
        <v>0</v>
      </c>
      <c r="C37" s="7">
        <f>COUNTIF(Acteurs!C37,1)</f>
        <v>0</v>
      </c>
      <c r="D37" s="7">
        <f>COUNTIF(Acteurs!D37,1)</f>
        <v>0</v>
      </c>
      <c r="E37" s="7">
        <f>COUNTIF(Acteurs!E37,1)</f>
        <v>0</v>
      </c>
      <c r="F37" s="7">
        <f>COUNTIF(Acteurs!F37,1)</f>
        <v>0</v>
      </c>
      <c r="G37" s="7">
        <f>'Grille de métriques'!C82</f>
        <v>0</v>
      </c>
      <c r="H37" s="7">
        <f>'Grille de métriques'!D82</f>
        <v>0</v>
      </c>
      <c r="I37" s="7">
        <f>'Grille de métriques'!E82</f>
        <v>0</v>
      </c>
      <c r="J37" s="7">
        <f>'Grille de métriques'!F82</f>
        <v>0</v>
      </c>
      <c r="K37" s="7">
        <f>'Grille de métriques'!G82</f>
        <v>0</v>
      </c>
      <c r="L37" s="7">
        <f>'Grille de métriques'!H82</f>
        <v>0</v>
      </c>
      <c r="M37" s="7">
        <f>'Grille de métriques'!I82</f>
        <v>0</v>
      </c>
      <c r="N37" s="7">
        <f>'Grille de métriques'!J82</f>
        <v>0</v>
      </c>
      <c r="O37" s="7">
        <f>'Grille de métriques'!K82</f>
        <v>0</v>
      </c>
      <c r="P37" s="7">
        <f>'Grille de métriques'!L82</f>
        <v>0</v>
      </c>
      <c r="Q37" s="7">
        <f>'Grille de métriques'!M82</f>
        <v>0</v>
      </c>
      <c r="R37" s="7">
        <f>'Grille de métriques'!N82</f>
        <v>0</v>
      </c>
      <c r="S37" s="7">
        <f>'Grille de métriques'!O82</f>
        <v>0</v>
      </c>
      <c r="T37" s="7">
        <f>'Grille de métriques'!P82</f>
        <v>0</v>
      </c>
      <c r="U37" s="7">
        <f>'Grille de métriques'!Q82</f>
        <v>0</v>
      </c>
      <c r="V37" s="7">
        <f>'Grille de métriques'!R82</f>
        <v>0</v>
      </c>
      <c r="W37" s="7">
        <f>'Grille de métriques'!S82</f>
        <v>0</v>
      </c>
      <c r="X37" s="7">
        <f>'Grille de métriques'!T82</f>
        <v>0</v>
      </c>
      <c r="Y37" s="7">
        <f>'Grille de métriques'!U82</f>
        <v>0</v>
      </c>
      <c r="Z37" s="7">
        <f>'Grille de métriques'!V82</f>
        <v>0</v>
      </c>
      <c r="AA37" s="7">
        <f>'Grille de métriques'!W82</f>
        <v>0</v>
      </c>
      <c r="AB37" s="7">
        <f>'Grille de métriques'!X82</f>
        <v>0</v>
      </c>
      <c r="AC37" s="7">
        <f>'Grille de métriques'!Y82</f>
        <v>0</v>
      </c>
      <c r="AD37" s="7">
        <f>'Grille de métriques'!Z82</f>
        <v>0</v>
      </c>
      <c r="AE37" s="7">
        <f>'Grille de métriques'!AA82</f>
        <v>0</v>
      </c>
      <c r="AF37" s="7">
        <f>'Grille de métriques'!AB82</f>
        <v>0</v>
      </c>
      <c r="AG37" s="7">
        <f>'Grille de métriques'!AC82</f>
        <v>0</v>
      </c>
    </row>
    <row r="38" spans="1:33" ht="15.75" customHeight="1" x14ac:dyDescent="0.3">
      <c r="A38" s="7" t="s">
        <v>426</v>
      </c>
      <c r="B38" s="7">
        <f>COUNTIF(Acteurs!B38,1)</f>
        <v>0</v>
      </c>
      <c r="C38" s="7">
        <f>COUNTIF(Acteurs!C38,1)</f>
        <v>0</v>
      </c>
      <c r="D38" s="7">
        <f>COUNTIF(Acteurs!D38,1)</f>
        <v>0</v>
      </c>
      <c r="E38" s="7">
        <f>COUNTIF(Acteurs!E38,1)</f>
        <v>0</v>
      </c>
      <c r="F38" s="7">
        <f>COUNTIF(Acteurs!F38,1)</f>
        <v>0</v>
      </c>
      <c r="G38" s="7">
        <f>'Grille de métriques'!C83</f>
        <v>0</v>
      </c>
      <c r="H38" s="7">
        <f>'Grille de métriques'!D83</f>
        <v>0</v>
      </c>
      <c r="I38" s="7">
        <f>'Grille de métriques'!E83</f>
        <v>0</v>
      </c>
      <c r="J38" s="7">
        <f>'Grille de métriques'!F83</f>
        <v>0</v>
      </c>
      <c r="K38" s="7">
        <f>'Grille de métriques'!G83</f>
        <v>0</v>
      </c>
      <c r="L38" s="7">
        <f>'Grille de métriques'!H83</f>
        <v>0</v>
      </c>
      <c r="M38" s="7">
        <f>'Grille de métriques'!I83</f>
        <v>0</v>
      </c>
      <c r="N38" s="7">
        <f>'Grille de métriques'!J83</f>
        <v>0</v>
      </c>
      <c r="O38" s="7">
        <f>'Grille de métriques'!K83</f>
        <v>0</v>
      </c>
      <c r="P38" s="7">
        <f>'Grille de métriques'!L83</f>
        <v>0</v>
      </c>
      <c r="Q38" s="7">
        <f>'Grille de métriques'!M83</f>
        <v>0</v>
      </c>
      <c r="R38" s="7">
        <f>'Grille de métriques'!N83</f>
        <v>0</v>
      </c>
      <c r="S38" s="7">
        <f>'Grille de métriques'!O83</f>
        <v>0</v>
      </c>
      <c r="T38" s="7">
        <f>'Grille de métriques'!P83</f>
        <v>0</v>
      </c>
      <c r="U38" s="7">
        <f>'Grille de métriques'!Q83</f>
        <v>0</v>
      </c>
      <c r="V38" s="7">
        <f>'Grille de métriques'!R83</f>
        <v>0</v>
      </c>
      <c r="W38" s="7">
        <f>'Grille de métriques'!S83</f>
        <v>0</v>
      </c>
      <c r="X38" s="7">
        <f>'Grille de métriques'!T83</f>
        <v>0</v>
      </c>
      <c r="Y38" s="7">
        <f>'Grille de métriques'!U83</f>
        <v>0</v>
      </c>
      <c r="Z38" s="7">
        <f>'Grille de métriques'!V83</f>
        <v>0</v>
      </c>
      <c r="AA38" s="7">
        <f>'Grille de métriques'!W83</f>
        <v>0</v>
      </c>
      <c r="AB38" s="7">
        <f>'Grille de métriques'!X83</f>
        <v>0</v>
      </c>
      <c r="AC38" s="7">
        <f>'Grille de métriques'!Y83</f>
        <v>0</v>
      </c>
      <c r="AD38" s="7">
        <f>'Grille de métriques'!Z83</f>
        <v>0</v>
      </c>
      <c r="AE38" s="7">
        <f>'Grille de métriques'!AA83</f>
        <v>0</v>
      </c>
      <c r="AF38" s="7">
        <f>'Grille de métriques'!AB83</f>
        <v>0</v>
      </c>
      <c r="AG38" s="7">
        <f>'Grille de métriques'!AC83</f>
        <v>0</v>
      </c>
    </row>
    <row r="39" spans="1:33" ht="15.75" customHeight="1" x14ac:dyDescent="0.3">
      <c r="A39" s="7" t="s">
        <v>427</v>
      </c>
      <c r="B39" s="7">
        <f>COUNTIF(Acteurs!B39,1)</f>
        <v>0</v>
      </c>
      <c r="C39" s="7">
        <f>COUNTIF(Acteurs!C39,1)</f>
        <v>0</v>
      </c>
      <c r="D39" s="7">
        <f>COUNTIF(Acteurs!D39,1)</f>
        <v>0</v>
      </c>
      <c r="E39" s="7">
        <f>COUNTIF(Acteurs!E39,1)</f>
        <v>0</v>
      </c>
      <c r="F39" s="7">
        <f>COUNTIF(Acteurs!F39,1)</f>
        <v>0</v>
      </c>
      <c r="G39" s="7">
        <f>'Grille de métriques'!C84</f>
        <v>0</v>
      </c>
      <c r="H39" s="7">
        <f>'Grille de métriques'!D84</f>
        <v>0</v>
      </c>
      <c r="I39" s="7">
        <f>'Grille de métriques'!E84</f>
        <v>0</v>
      </c>
      <c r="J39" s="7">
        <f>'Grille de métriques'!F84</f>
        <v>0</v>
      </c>
      <c r="K39" s="7">
        <f>'Grille de métriques'!G84</f>
        <v>0</v>
      </c>
      <c r="L39" s="7">
        <f>'Grille de métriques'!H84</f>
        <v>0</v>
      </c>
      <c r="M39" s="7">
        <f>'Grille de métriques'!I84</f>
        <v>0</v>
      </c>
      <c r="N39" s="7">
        <f>'Grille de métriques'!J84</f>
        <v>0</v>
      </c>
      <c r="O39" s="7">
        <f>'Grille de métriques'!K84</f>
        <v>0</v>
      </c>
      <c r="P39" s="7">
        <f>'Grille de métriques'!L84</f>
        <v>0</v>
      </c>
      <c r="Q39" s="7">
        <f>'Grille de métriques'!M84</f>
        <v>0</v>
      </c>
      <c r="R39" s="7">
        <f>'Grille de métriques'!N84</f>
        <v>0</v>
      </c>
      <c r="S39" s="7">
        <f>'Grille de métriques'!O84</f>
        <v>0</v>
      </c>
      <c r="T39" s="7">
        <f>'Grille de métriques'!P84</f>
        <v>0</v>
      </c>
      <c r="U39" s="7">
        <f>'Grille de métriques'!Q84</f>
        <v>0</v>
      </c>
      <c r="V39" s="7">
        <f>'Grille de métriques'!R84</f>
        <v>0</v>
      </c>
      <c r="W39" s="7">
        <f>'Grille de métriques'!S84</f>
        <v>0</v>
      </c>
      <c r="X39" s="7">
        <f>'Grille de métriques'!T84</f>
        <v>0</v>
      </c>
      <c r="Y39" s="7">
        <f>'Grille de métriques'!U84</f>
        <v>0</v>
      </c>
      <c r="Z39" s="7">
        <f>'Grille de métriques'!V84</f>
        <v>0</v>
      </c>
      <c r="AA39" s="7">
        <f>'Grille de métriques'!W84</f>
        <v>0</v>
      </c>
      <c r="AB39" s="7">
        <f>'Grille de métriques'!X84</f>
        <v>0</v>
      </c>
      <c r="AC39" s="7">
        <f>'Grille de métriques'!Y84</f>
        <v>0</v>
      </c>
      <c r="AD39" s="7">
        <f>'Grille de métriques'!Z84</f>
        <v>0</v>
      </c>
      <c r="AE39" s="7">
        <f>'Grille de métriques'!AA84</f>
        <v>0</v>
      </c>
      <c r="AF39" s="7">
        <f>'Grille de métriques'!AB84</f>
        <v>0</v>
      </c>
      <c r="AG39" s="7">
        <f>'Grille de métriques'!AC84</f>
        <v>0</v>
      </c>
    </row>
    <row r="40" spans="1:33" ht="15.75" customHeight="1" x14ac:dyDescent="0.3">
      <c r="A40" s="7" t="s">
        <v>428</v>
      </c>
      <c r="B40" s="7">
        <f>COUNTIF(Acteurs!B40,1)</f>
        <v>0</v>
      </c>
      <c r="C40" s="7">
        <f>COUNTIF(Acteurs!C40,1)</f>
        <v>0</v>
      </c>
      <c r="D40" s="7">
        <f>COUNTIF(Acteurs!D40,1)</f>
        <v>0</v>
      </c>
      <c r="E40" s="7">
        <f>COUNTIF(Acteurs!E40,1)</f>
        <v>0</v>
      </c>
      <c r="F40" s="7">
        <f>COUNTIF(Acteurs!F40,1)</f>
        <v>0</v>
      </c>
      <c r="G40" s="7">
        <f>'Grille de métriques'!C85</f>
        <v>0</v>
      </c>
      <c r="H40" s="7">
        <f>'Grille de métriques'!D85</f>
        <v>0</v>
      </c>
      <c r="I40" s="7">
        <f>'Grille de métriques'!E85</f>
        <v>0</v>
      </c>
      <c r="J40" s="7">
        <f>'Grille de métriques'!F85</f>
        <v>0</v>
      </c>
      <c r="K40" s="7">
        <f>'Grille de métriques'!G85</f>
        <v>0</v>
      </c>
      <c r="L40" s="7">
        <f>'Grille de métriques'!H85</f>
        <v>0</v>
      </c>
      <c r="M40" s="7">
        <f>'Grille de métriques'!I85</f>
        <v>0</v>
      </c>
      <c r="N40" s="7">
        <f>'Grille de métriques'!J85</f>
        <v>0</v>
      </c>
      <c r="O40" s="7">
        <f>'Grille de métriques'!K85</f>
        <v>0</v>
      </c>
      <c r="P40" s="7">
        <f>'Grille de métriques'!L85</f>
        <v>0</v>
      </c>
      <c r="Q40" s="7">
        <f>'Grille de métriques'!M85</f>
        <v>0</v>
      </c>
      <c r="R40" s="7">
        <f>'Grille de métriques'!N85</f>
        <v>0</v>
      </c>
      <c r="S40" s="7">
        <f>'Grille de métriques'!O85</f>
        <v>0</v>
      </c>
      <c r="T40" s="7">
        <f>'Grille de métriques'!P85</f>
        <v>0</v>
      </c>
      <c r="U40" s="7">
        <f>'Grille de métriques'!Q85</f>
        <v>0</v>
      </c>
      <c r="V40" s="7">
        <f>'Grille de métriques'!R85</f>
        <v>0</v>
      </c>
      <c r="W40" s="7">
        <f>'Grille de métriques'!S85</f>
        <v>0</v>
      </c>
      <c r="X40" s="7">
        <f>'Grille de métriques'!T85</f>
        <v>0</v>
      </c>
      <c r="Y40" s="7">
        <f>'Grille de métriques'!U85</f>
        <v>0</v>
      </c>
      <c r="Z40" s="7">
        <f>'Grille de métriques'!V85</f>
        <v>0</v>
      </c>
      <c r="AA40" s="7">
        <f>'Grille de métriques'!W85</f>
        <v>0</v>
      </c>
      <c r="AB40" s="7">
        <f>'Grille de métriques'!X85</f>
        <v>0</v>
      </c>
      <c r="AC40" s="7">
        <f>'Grille de métriques'!Y85</f>
        <v>0</v>
      </c>
      <c r="AD40" s="7">
        <f>'Grille de métriques'!Z85</f>
        <v>0</v>
      </c>
      <c r="AE40" s="7">
        <f>'Grille de métriques'!AA85</f>
        <v>0</v>
      </c>
      <c r="AF40" s="7">
        <f>'Grille de métriques'!AB85</f>
        <v>0</v>
      </c>
      <c r="AG40" s="7">
        <f>'Grille de métriques'!AC85</f>
        <v>0</v>
      </c>
    </row>
    <row r="41" spans="1:33" ht="15.75" customHeight="1" x14ac:dyDescent="0.3">
      <c r="A41" s="7" t="s">
        <v>429</v>
      </c>
      <c r="B41" s="7">
        <f>COUNTIF(Acteurs!B41,1)</f>
        <v>0</v>
      </c>
      <c r="C41" s="7">
        <f>COUNTIF(Acteurs!C41,1)</f>
        <v>0</v>
      </c>
      <c r="D41" s="7">
        <f>COUNTIF(Acteurs!D41,1)</f>
        <v>0</v>
      </c>
      <c r="E41" s="7">
        <f>COUNTIF(Acteurs!E41,1)</f>
        <v>0</v>
      </c>
      <c r="F41" s="7">
        <f>COUNTIF(Acteurs!F41,1)</f>
        <v>0</v>
      </c>
      <c r="G41" s="7">
        <f>'Grille de métriques'!C86</f>
        <v>0</v>
      </c>
      <c r="H41" s="7">
        <f>'Grille de métriques'!D86</f>
        <v>0</v>
      </c>
      <c r="I41" s="7">
        <f>'Grille de métriques'!E86</f>
        <v>0</v>
      </c>
      <c r="J41" s="7">
        <f>'Grille de métriques'!F86</f>
        <v>0</v>
      </c>
      <c r="K41" s="7">
        <f>'Grille de métriques'!G86</f>
        <v>0</v>
      </c>
      <c r="L41" s="7">
        <f>'Grille de métriques'!H86</f>
        <v>0</v>
      </c>
      <c r="M41" s="7">
        <f>'Grille de métriques'!I86</f>
        <v>0</v>
      </c>
      <c r="N41" s="7">
        <f>'Grille de métriques'!J86</f>
        <v>0</v>
      </c>
      <c r="O41" s="7">
        <f>'Grille de métriques'!K86</f>
        <v>0</v>
      </c>
      <c r="P41" s="7">
        <f>'Grille de métriques'!L86</f>
        <v>0</v>
      </c>
      <c r="Q41" s="7">
        <f>'Grille de métriques'!M86</f>
        <v>0</v>
      </c>
      <c r="R41" s="7">
        <f>'Grille de métriques'!N86</f>
        <v>0</v>
      </c>
      <c r="S41" s="7">
        <f>'Grille de métriques'!O86</f>
        <v>0</v>
      </c>
      <c r="T41" s="7">
        <f>'Grille de métriques'!P86</f>
        <v>0</v>
      </c>
      <c r="U41" s="7">
        <f>'Grille de métriques'!Q86</f>
        <v>0</v>
      </c>
      <c r="V41" s="7">
        <f>'Grille de métriques'!R86</f>
        <v>0</v>
      </c>
      <c r="W41" s="7">
        <f>'Grille de métriques'!S86</f>
        <v>0</v>
      </c>
      <c r="X41" s="7">
        <f>'Grille de métriques'!T86</f>
        <v>0</v>
      </c>
      <c r="Y41" s="7">
        <f>'Grille de métriques'!U86</f>
        <v>0</v>
      </c>
      <c r="Z41" s="7">
        <f>'Grille de métriques'!V86</f>
        <v>0</v>
      </c>
      <c r="AA41" s="7">
        <f>'Grille de métriques'!W86</f>
        <v>0</v>
      </c>
      <c r="AB41" s="7">
        <f>'Grille de métriques'!X86</f>
        <v>0</v>
      </c>
      <c r="AC41" s="7">
        <f>'Grille de métriques'!Y86</f>
        <v>0</v>
      </c>
      <c r="AD41" s="7">
        <f>'Grille de métriques'!Z86</f>
        <v>0</v>
      </c>
      <c r="AE41" s="7">
        <f>'Grille de métriques'!AA86</f>
        <v>0</v>
      </c>
      <c r="AF41" s="7">
        <f>'Grille de métriques'!AB86</f>
        <v>0</v>
      </c>
      <c r="AG41" s="7">
        <f>'Grille de métriques'!AC86</f>
        <v>0</v>
      </c>
    </row>
    <row r="42" spans="1:33" ht="15.75" customHeight="1" x14ac:dyDescent="0.25"/>
    <row r="43" spans="1:33" ht="15.75" customHeight="1" x14ac:dyDescent="0.25"/>
    <row r="44" spans="1:33" ht="15.75" customHeight="1" x14ac:dyDescent="0.25"/>
    <row r="45" spans="1:33" ht="15.75" customHeight="1" x14ac:dyDescent="0.25"/>
    <row r="46" spans="1:33" ht="15.75" customHeight="1" x14ac:dyDescent="0.25"/>
    <row r="47" spans="1:33" ht="15.75" customHeight="1" x14ac:dyDescent="0.25"/>
    <row r="48" spans="1:3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Infos du site</vt:lpstr>
      <vt:lpstr>Acteurs</vt:lpstr>
      <vt:lpstr>Formulaire</vt:lpstr>
      <vt:lpstr>Grille de métriques</vt:lpstr>
      <vt:lpstr>Graphs Connaissance</vt:lpstr>
      <vt:lpstr>Graphs Interet</vt:lpstr>
      <vt:lpstr>Graphs Implication</vt:lpstr>
      <vt:lpstr>AFOM</vt:lpstr>
      <vt:lpstr>CCG</vt:lpstr>
      <vt:lpstr>Conclusion</vt:lpstr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Anatole Marechal</dc:creator>
  <cp:keywords/>
  <dc:description/>
  <cp:lastModifiedBy>Ombeline CHIDAINE</cp:lastModifiedBy>
  <cp:revision/>
  <dcterms:created xsi:type="dcterms:W3CDTF">2021-04-23T07:28:06Z</dcterms:created>
  <dcterms:modified xsi:type="dcterms:W3CDTF">2026-02-23T14:24:17Z</dcterms:modified>
  <cp:category/>
  <cp:contentStatus/>
</cp:coreProperties>
</file>